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leoco\Documenten\Biljarten\Scorebord\"/>
    </mc:Choice>
  </mc:AlternateContent>
  <xr:revisionPtr revIDLastSave="0" documentId="13_ncr:1_{C1166954-2817-487E-841B-2A4B62C7FB63}" xr6:coauthVersionLast="47" xr6:coauthVersionMax="47" xr10:uidLastSave="{00000000-0000-0000-0000-000000000000}"/>
  <bookViews>
    <workbookView xWindow="-108" yWindow="-108" windowWidth="23256" windowHeight="12456" tabRatio="674" activeTab="1" xr2:uid="{38735FED-9F5E-4206-9BA5-F70E1C08D2CF}"/>
  </bookViews>
  <sheets>
    <sheet name="Wedstrijdblad" sheetId="1" r:id="rId1"/>
    <sheet name="Scoreblad 1" sheetId="2" r:id="rId2"/>
    <sheet name="Scoreblad 2" sheetId="3" r:id="rId3"/>
    <sheet name="Scoreblad 3" sheetId="4" r:id="rId4"/>
    <sheet name="Scoreblad 4" sheetId="5" r:id="rId5"/>
    <sheet name="Scoreblad 5" sheetId="6" r:id="rId6"/>
    <sheet name="Scoreblad 6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1" l="1"/>
  <c r="B27" i="1"/>
  <c r="G4" i="7"/>
  <c r="C4" i="7"/>
  <c r="G4" i="6"/>
  <c r="C4" i="6"/>
  <c r="G4" i="5"/>
  <c r="C4" i="5"/>
  <c r="G4" i="4"/>
  <c r="C4" i="4"/>
  <c r="G4" i="3"/>
  <c r="C4" i="3"/>
  <c r="G3" i="7"/>
  <c r="C3" i="7"/>
  <c r="G3" i="6"/>
  <c r="C3" i="6"/>
  <c r="G3" i="5"/>
  <c r="C3" i="5"/>
  <c r="G3" i="4"/>
  <c r="C3" i="4"/>
  <c r="G3" i="3"/>
  <c r="C3" i="3"/>
  <c r="G3" i="2"/>
  <c r="C3" i="2"/>
  <c r="G2" i="7"/>
  <c r="C2" i="7"/>
  <c r="G2" i="6"/>
  <c r="C2" i="6"/>
  <c r="G2" i="5"/>
  <c r="C2" i="5"/>
  <c r="G2" i="4"/>
  <c r="C2" i="4"/>
  <c r="G2" i="3"/>
  <c r="C2" i="3"/>
  <c r="X30" i="1" l="1"/>
  <c r="G11" i="7" s="1"/>
  <c r="V30" i="1"/>
  <c r="C11" i="7" s="1"/>
  <c r="X29" i="1"/>
  <c r="G9" i="7" s="1"/>
  <c r="V29" i="1"/>
  <c r="C9" i="7" s="1"/>
  <c r="X28" i="1"/>
  <c r="G7" i="7" s="1"/>
  <c r="V28" i="1"/>
  <c r="C7" i="7" s="1"/>
  <c r="X27" i="1"/>
  <c r="V27" i="1"/>
  <c r="E5" i="7" s="1"/>
  <c r="T30" i="1"/>
  <c r="G11" i="6" s="1"/>
  <c r="R30" i="1"/>
  <c r="C11" i="6" s="1"/>
  <c r="T29" i="1"/>
  <c r="G9" i="6" s="1"/>
  <c r="R29" i="1"/>
  <c r="C9" i="6" s="1"/>
  <c r="T28" i="1"/>
  <c r="G7" i="6" s="1"/>
  <c r="R28" i="1"/>
  <c r="C7" i="6" s="1"/>
  <c r="T27" i="1"/>
  <c r="R27" i="1"/>
  <c r="E5" i="6" s="1"/>
  <c r="P30" i="1"/>
  <c r="G11" i="5" s="1"/>
  <c r="N30" i="1"/>
  <c r="C11" i="5" s="1"/>
  <c r="P29" i="1"/>
  <c r="G9" i="5" s="1"/>
  <c r="N29" i="1"/>
  <c r="C9" i="5" s="1"/>
  <c r="P28" i="1"/>
  <c r="G7" i="5" s="1"/>
  <c r="N28" i="1"/>
  <c r="C7" i="5" s="1"/>
  <c r="P27" i="1"/>
  <c r="N27" i="1"/>
  <c r="E5" i="5" s="1"/>
  <c r="L30" i="1"/>
  <c r="G11" i="4" s="1"/>
  <c r="J30" i="1"/>
  <c r="C11" i="4" s="1"/>
  <c r="L29" i="1"/>
  <c r="G9" i="4" s="1"/>
  <c r="J29" i="1"/>
  <c r="C9" i="4" s="1"/>
  <c r="L28" i="1"/>
  <c r="G7" i="4" s="1"/>
  <c r="J28" i="1"/>
  <c r="C7" i="4" s="1"/>
  <c r="L27" i="1"/>
  <c r="J27" i="1"/>
  <c r="E5" i="4" s="1"/>
  <c r="H30" i="1"/>
  <c r="G11" i="3" s="1"/>
  <c r="F30" i="1"/>
  <c r="C11" i="3" s="1"/>
  <c r="H29" i="1"/>
  <c r="G9" i="3" s="1"/>
  <c r="F29" i="1"/>
  <c r="C9" i="3" s="1"/>
  <c r="H28" i="1"/>
  <c r="G7" i="3" s="1"/>
  <c r="F28" i="1"/>
  <c r="C7" i="3" s="1"/>
  <c r="H27" i="1"/>
  <c r="F27" i="1"/>
  <c r="E5" i="3" s="1"/>
  <c r="D29" i="1" l="1"/>
  <c r="B29" i="1"/>
  <c r="G4" i="2"/>
  <c r="C4" i="2"/>
  <c r="G2" i="2"/>
  <c r="C2" i="2"/>
  <c r="D27" i="1"/>
  <c r="D30" i="1"/>
  <c r="D28" i="1"/>
  <c r="B30" i="1"/>
  <c r="B28" i="1"/>
  <c r="Y7" i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G5" i="7" s="1"/>
  <c r="W7" i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C5" i="7" s="1"/>
  <c r="U7" i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G5" i="6" s="1"/>
  <c r="S7" i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C5" i="6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G5" i="5" s="1"/>
  <c r="O7" i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C5" i="5" s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G5" i="4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C5" i="4" s="1"/>
  <c r="I7" i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G5" i="3" s="1"/>
  <c r="G7" i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C5" i="3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G5" i="2" l="1"/>
  <c r="G11" i="2"/>
  <c r="G7" i="2"/>
  <c r="G9" i="2"/>
  <c r="B6" i="1"/>
  <c r="C13" i="2" s="1"/>
  <c r="E5" i="2"/>
  <c r="C11" i="2"/>
  <c r="C7" i="2"/>
  <c r="C9" i="2"/>
  <c r="C5" i="2"/>
  <c r="N6" i="1"/>
  <c r="C13" i="5" s="1"/>
  <c r="T6" i="1"/>
  <c r="G13" i="6" s="1"/>
  <c r="H6" i="1"/>
  <c r="G13" i="3" s="1"/>
  <c r="X6" i="1"/>
  <c r="G13" i="7" s="1"/>
  <c r="L6" i="1"/>
  <c r="G13" i="4" s="1"/>
  <c r="R6" i="1"/>
  <c r="C13" i="6" s="1"/>
  <c r="P6" i="1"/>
  <c r="G13" i="5" s="1"/>
  <c r="D6" i="1"/>
  <c r="F6" i="1"/>
  <c r="C13" i="3" s="1"/>
  <c r="V6" i="1"/>
  <c r="C13" i="7" s="1"/>
  <c r="J6" i="1"/>
  <c r="C13" i="4" s="1"/>
  <c r="B32" i="1" l="1"/>
  <c r="B31" i="1"/>
  <c r="C15" i="2" s="1"/>
  <c r="G13" i="2"/>
  <c r="G15" i="4" l="1"/>
  <c r="G15" i="7"/>
  <c r="G15" i="3"/>
  <c r="G15" i="5"/>
  <c r="G15" i="6"/>
  <c r="G15" i="2"/>
  <c r="C15" i="4"/>
  <c r="C15" i="3"/>
  <c r="C15" i="7"/>
  <c r="C15" i="6"/>
  <c r="C15" i="5"/>
  <c r="B33" i="1"/>
</calcChain>
</file>

<file path=xl/sharedStrings.xml><?xml version="1.0" encoding="utf-8"?>
<sst xmlns="http://schemas.openxmlformats.org/spreadsheetml/2006/main" count="81" uniqueCount="41">
  <si>
    <t>Bezoekers</t>
  </si>
  <si>
    <t>Thuisploeg</t>
  </si>
  <si>
    <t>Datum:</t>
  </si>
  <si>
    <t>Sterktegetal</t>
  </si>
  <si>
    <t>ESSENSE SENIOREN</t>
  </si>
  <si>
    <t>Biljart wedstrijdblad</t>
  </si>
  <si>
    <t>Bezoekers:</t>
  </si>
  <si>
    <t>Thuisploeg:</t>
  </si>
  <si>
    <t>Verschil:</t>
  </si>
  <si>
    <t>BEURTEN</t>
  </si>
  <si>
    <t>HOOGSTE SERIE</t>
  </si>
  <si>
    <t>POEDELS</t>
  </si>
  <si>
    <t>GEMIDDELDE</t>
  </si>
  <si>
    <t>BEHAALDE PUNTEN</t>
  </si>
  <si>
    <t>Hoogste serie</t>
  </si>
  <si>
    <t>Poedels</t>
  </si>
  <si>
    <t>Gemiddelde</t>
  </si>
  <si>
    <t>Naam</t>
  </si>
  <si>
    <t>Rooie bal 2</t>
  </si>
  <si>
    <t>Tot. Bezoekers :</t>
  </si>
  <si>
    <t>Tot. Thuisploeg :</t>
  </si>
  <si>
    <t>Kerkuilen</t>
  </si>
  <si>
    <t>Wies Peeters</t>
  </si>
  <si>
    <t>John Donckers</t>
  </si>
  <si>
    <t>Hugo Hectors</t>
  </si>
  <si>
    <t>Cis Suykerbuyk</t>
  </si>
  <si>
    <t>Jef Schrooyen</t>
  </si>
  <si>
    <t>Fred Dictus</t>
  </si>
  <si>
    <t>Cyriel van Ginneken</t>
  </si>
  <si>
    <t>Leo Costermans</t>
  </si>
  <si>
    <t>Hubert Uytdewilge</t>
  </si>
  <si>
    <t>Ed Ossenblock</t>
  </si>
  <si>
    <t>Stan Elst</t>
  </si>
  <si>
    <t>Willy Lodewycks</t>
  </si>
  <si>
    <t>Match Totaal</t>
  </si>
  <si>
    <t>Voorzitter bezoekers</t>
  </si>
  <si>
    <t>Voorzitter thuisploeg</t>
  </si>
  <si>
    <t>Punten</t>
  </si>
  <si>
    <t>Biljarttornooien</t>
  </si>
  <si>
    <t>Aantal beurten</t>
  </si>
  <si>
    <t>Winnaar: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</si>
</sst>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#,##0.000_ ;\-#,##0.000\ "/>
  </numFmts>
  <fonts count="1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36"/>
      <color theme="7"/>
      <name val="Calibri"/>
      <family val="2"/>
      <charset val="1"/>
    </font>
    <font>
      <sz val="36"/>
      <color theme="0"/>
      <name val="Calibri"/>
      <family val="2"/>
      <charset val="1"/>
    </font>
    <font>
      <sz val="48"/>
      <color theme="7"/>
      <name val="Calibri"/>
      <family val="2"/>
      <charset val="1"/>
    </font>
    <font>
      <sz val="48"/>
      <color theme="0"/>
      <name val="Calibri"/>
      <family val="2"/>
      <charset val="1"/>
    </font>
    <font>
      <sz val="72"/>
      <color theme="0"/>
      <name val="Calibri"/>
      <family val="2"/>
      <charset val="1"/>
    </font>
    <font>
      <sz val="90"/>
      <color theme="0"/>
      <name val="Calibri"/>
      <family val="2"/>
      <charset val="1"/>
    </font>
    <font>
      <sz val="24"/>
      <color theme="0"/>
      <name val="Calibri"/>
      <family val="2"/>
      <charset val="1"/>
    </font>
    <font>
      <sz val="16"/>
      <color theme="1"/>
      <name val="Calibri"/>
      <family val="2"/>
      <scheme val="minor"/>
    </font>
    <font>
      <sz val="20"/>
      <color theme="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2" fontId="11" fillId="2" borderId="6" xfId="0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center" vertical="center"/>
    </xf>
    <xf numFmtId="164" fontId="9" fillId="2" borderId="0" xfId="1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3" borderId="16" xfId="0" applyFont="1" applyFill="1" applyBorder="1" applyAlignment="1">
      <alignment horizontal="right" vertical="center"/>
    </xf>
    <xf numFmtId="0" fontId="3" fillId="3" borderId="17" xfId="0" applyFont="1" applyFill="1" applyBorder="1" applyAlignment="1">
      <alignment horizontal="right" vertical="center"/>
    </xf>
    <xf numFmtId="0" fontId="1" fillId="3" borderId="17" xfId="0" applyFont="1" applyFill="1" applyBorder="1" applyAlignment="1" applyProtection="1">
      <alignment horizontal="right" vertical="center"/>
      <protection locked="0"/>
    </xf>
    <xf numFmtId="0" fontId="3" fillId="3" borderId="17" xfId="0" applyFont="1" applyFill="1" applyBorder="1" applyAlignment="1" applyProtection="1">
      <alignment horizontal="right"/>
      <protection locked="0"/>
    </xf>
    <xf numFmtId="0" fontId="3" fillId="3" borderId="17" xfId="0" applyFont="1" applyFill="1" applyBorder="1" applyAlignment="1">
      <alignment horizontal="right"/>
    </xf>
    <xf numFmtId="0" fontId="3" fillId="3" borderId="18" xfId="0" applyFont="1" applyFill="1" applyBorder="1" applyAlignment="1">
      <alignment horizontal="right"/>
    </xf>
    <xf numFmtId="0" fontId="3" fillId="3" borderId="16" xfId="0" applyFont="1" applyFill="1" applyBorder="1" applyAlignment="1" applyProtection="1">
      <alignment horizontal="right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3" borderId="18" xfId="0" applyFont="1" applyFill="1" applyBorder="1" applyAlignment="1" applyProtection="1">
      <alignment horizontal="right"/>
      <protection locked="0"/>
    </xf>
    <xf numFmtId="0" fontId="3" fillId="3" borderId="16" xfId="0" applyFont="1" applyFill="1" applyBorder="1" applyAlignment="1">
      <alignment horizontal="right"/>
    </xf>
    <xf numFmtId="0" fontId="1" fillId="0" borderId="12" xfId="0" applyFont="1" applyBorder="1" applyAlignment="1" applyProtection="1">
      <alignment horizontal="center" vertical="center"/>
      <protection locked="0"/>
    </xf>
    <xf numFmtId="0" fontId="3" fillId="3" borderId="18" xfId="0" applyFont="1" applyFill="1" applyBorder="1" applyAlignment="1">
      <alignment horizontal="right" vertical="center"/>
    </xf>
    <xf numFmtId="0" fontId="3" fillId="3" borderId="16" xfId="0" applyFont="1" applyFill="1" applyBorder="1" applyAlignment="1" applyProtection="1">
      <alignment horizontal="right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3" borderId="7" xfId="0" applyFont="1" applyFill="1" applyBorder="1"/>
    <xf numFmtId="165" fontId="16" fillId="2" borderId="0" xfId="1" applyNumberFormat="1" applyFont="1" applyFill="1" applyAlignment="1">
      <alignment horizontal="center" vertical="center"/>
    </xf>
    <xf numFmtId="14" fontId="15" fillId="0" borderId="36" xfId="0" applyNumberFormat="1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3" borderId="36" xfId="0" applyFont="1" applyFill="1" applyBorder="1" applyAlignment="1">
      <alignment horizontal="right" vertical="center"/>
    </xf>
    <xf numFmtId="0" fontId="15" fillId="3" borderId="37" xfId="0" applyFont="1" applyFill="1" applyBorder="1" applyAlignment="1">
      <alignment horizontal="right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3" borderId="38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164" fontId="1" fillId="0" borderId="27" xfId="0" applyNumberFormat="1" applyFont="1" applyBorder="1" applyAlignment="1" applyProtection="1">
      <alignment horizontal="center" vertical="center"/>
      <protection locked="0"/>
    </xf>
    <xf numFmtId="164" fontId="1" fillId="0" borderId="30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4" fillId="3" borderId="33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/>
      <protection locked="0"/>
    </xf>
    <xf numFmtId="0" fontId="2" fillId="3" borderId="33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1" fillId="0" borderId="20" xfId="0" applyFont="1" applyBorder="1" applyAlignment="1" applyProtection="1">
      <alignment horizontal="center" vertical="center" wrapText="1"/>
      <protection locked="0"/>
    </xf>
    <xf numFmtId="0" fontId="0" fillId="0" borderId="37" xfId="0" applyBorder="1" applyAlignment="1">
      <alignment horizontal="right" vertical="center"/>
    </xf>
    <xf numFmtId="0" fontId="3" fillId="0" borderId="26" xfId="0" applyFont="1" applyBorder="1" applyAlignment="1" applyProtection="1">
      <alignment horizontal="center" vertical="center"/>
      <protection locked="0"/>
    </xf>
    <xf numFmtId="0" fontId="0" fillId="0" borderId="27" xfId="0" applyBorder="1"/>
    <xf numFmtId="0" fontId="3" fillId="0" borderId="31" xfId="0" applyFont="1" applyBorder="1" applyAlignment="1" applyProtection="1">
      <alignment horizontal="center" vertical="center"/>
      <protection locked="0"/>
    </xf>
    <xf numFmtId="0" fontId="0" fillId="0" borderId="20" xfId="0" applyBorder="1"/>
    <xf numFmtId="0" fontId="3" fillId="0" borderId="21" xfId="0" applyFont="1" applyBorder="1" applyAlignment="1" applyProtection="1">
      <alignment horizontal="center" vertical="center"/>
      <protection locked="0"/>
    </xf>
    <xf numFmtId="0" fontId="0" fillId="0" borderId="22" xfId="0" applyBorder="1"/>
    <xf numFmtId="0" fontId="3" fillId="0" borderId="32" xfId="0" applyFont="1" applyBorder="1" applyAlignment="1" applyProtection="1">
      <alignment horizontal="center" vertical="center"/>
      <protection locked="0"/>
    </xf>
    <xf numFmtId="0" fontId="0" fillId="0" borderId="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0" fillId="0" borderId="23" xfId="0" applyBorder="1"/>
    <xf numFmtId="0" fontId="3" fillId="0" borderId="30" xfId="0" applyFont="1" applyBorder="1" applyAlignment="1" applyProtection="1">
      <alignment horizontal="center" vertical="center"/>
      <protection locked="0"/>
    </xf>
    <xf numFmtId="0" fontId="0" fillId="0" borderId="25" xfId="0" applyBorder="1"/>
    <xf numFmtId="164" fontId="1" fillId="0" borderId="1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1" fillId="0" borderId="8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5" fillId="0" borderId="20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5" fillId="0" borderId="25" xfId="0" applyFont="1" applyBorder="1" applyAlignment="1">
      <alignment horizontal="center" vertical="top"/>
    </xf>
    <xf numFmtId="0" fontId="15" fillId="0" borderId="14" xfId="0" applyFont="1" applyBorder="1" applyAlignment="1">
      <alignment horizontal="center" vertical="top"/>
    </xf>
    <xf numFmtId="0" fontId="15" fillId="0" borderId="15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15" fillId="0" borderId="9" xfId="0" applyFont="1" applyBorder="1"/>
    <xf numFmtId="0" fontId="15" fillId="0" borderId="10" xfId="0" applyFont="1" applyBorder="1"/>
    <xf numFmtId="0" fontId="15" fillId="0" borderId="11" xfId="0" applyFont="1" applyBorder="1"/>
    <xf numFmtId="0" fontId="15" fillId="0" borderId="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3" fillId="0" borderId="24" xfId="0" applyFont="1" applyBorder="1" applyAlignment="1" applyProtection="1">
      <alignment horizontal="center" vertical="center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319E-BC28-4A4A-AF30-E9BD737D2D26}">
  <sheetPr codeName="Blad1">
    <pageSetUpPr fitToPage="1"/>
  </sheetPr>
  <dimension ref="A1:Y34"/>
  <sheetViews>
    <sheetView zoomScaleNormal="100" workbookViewId="0">
      <selection activeCell="A27" sqref="A27:XFD30"/>
    </sheetView>
  </sheetViews>
  <sheetFormatPr defaultRowHeight="14.4" x14ac:dyDescent="0.3"/>
  <cols>
    <col min="1" max="1" width="19.44140625" customWidth="1"/>
    <col min="2" max="25" width="7.77734375" customWidth="1"/>
  </cols>
  <sheetData>
    <row r="1" spans="1:25" ht="31.8" thickBot="1" x14ac:dyDescent="0.35">
      <c r="A1" s="66" t="s">
        <v>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8"/>
      <c r="N1" s="66" t="s">
        <v>38</v>
      </c>
      <c r="O1" s="67"/>
      <c r="P1" s="67"/>
      <c r="Q1" s="67"/>
      <c r="R1" s="67"/>
      <c r="S1" s="67"/>
      <c r="T1" s="67"/>
      <c r="U1" s="67"/>
      <c r="V1" s="67"/>
      <c r="W1" s="67"/>
      <c r="X1" s="67"/>
      <c r="Y1" s="68"/>
    </row>
    <row r="2" spans="1:25" ht="26.4" thickBot="1" x14ac:dyDescent="0.35">
      <c r="A2" s="73" t="s">
        <v>5</v>
      </c>
      <c r="B2" s="74"/>
      <c r="C2" s="74"/>
      <c r="D2" s="74"/>
      <c r="E2" s="75"/>
      <c r="F2" s="45" t="s">
        <v>2</v>
      </c>
      <c r="G2" s="46"/>
      <c r="H2" s="43">
        <v>45964</v>
      </c>
      <c r="I2" s="44"/>
      <c r="J2" s="45" t="s">
        <v>6</v>
      </c>
      <c r="K2" s="46"/>
      <c r="L2" s="69" t="s">
        <v>21</v>
      </c>
      <c r="M2" s="70"/>
      <c r="N2" s="70"/>
      <c r="O2" s="70"/>
      <c r="P2" s="70"/>
      <c r="Q2" s="71"/>
      <c r="R2" s="45" t="s">
        <v>7</v>
      </c>
      <c r="S2" s="77"/>
      <c r="T2" s="69" t="s">
        <v>18</v>
      </c>
      <c r="U2" s="70"/>
      <c r="V2" s="70"/>
      <c r="W2" s="70"/>
      <c r="X2" s="70"/>
      <c r="Y2" s="71"/>
    </row>
    <row r="3" spans="1:25" s="1" customFormat="1" ht="18.600000000000001" thickBot="1" x14ac:dyDescent="0.4">
      <c r="A3" s="41"/>
      <c r="B3" s="55" t="s">
        <v>0</v>
      </c>
      <c r="C3" s="56"/>
      <c r="D3" s="56" t="s">
        <v>1</v>
      </c>
      <c r="E3" s="57"/>
      <c r="F3" s="47" t="s">
        <v>0</v>
      </c>
      <c r="G3" s="48"/>
      <c r="H3" s="48" t="s">
        <v>1</v>
      </c>
      <c r="I3" s="49"/>
      <c r="J3" s="47" t="s">
        <v>0</v>
      </c>
      <c r="K3" s="48"/>
      <c r="L3" s="48" t="s">
        <v>1</v>
      </c>
      <c r="M3" s="49"/>
      <c r="N3" s="47" t="s">
        <v>0</v>
      </c>
      <c r="O3" s="48"/>
      <c r="P3" s="48" t="s">
        <v>1</v>
      </c>
      <c r="Q3" s="49"/>
      <c r="R3" s="47" t="s">
        <v>0</v>
      </c>
      <c r="S3" s="48"/>
      <c r="T3" s="48" t="s">
        <v>1</v>
      </c>
      <c r="U3" s="49"/>
      <c r="V3" s="47" t="s">
        <v>0</v>
      </c>
      <c r="W3" s="48"/>
      <c r="X3" s="48" t="s">
        <v>1</v>
      </c>
      <c r="Y3" s="49"/>
    </row>
    <row r="4" spans="1:25" s="1" customFormat="1" ht="40.049999999999997" customHeight="1" x14ac:dyDescent="0.35">
      <c r="A4" s="22" t="s">
        <v>17</v>
      </c>
      <c r="B4" s="50" t="s">
        <v>22</v>
      </c>
      <c r="C4" s="51"/>
      <c r="D4" s="52" t="s">
        <v>23</v>
      </c>
      <c r="E4" s="53"/>
      <c r="F4" s="54" t="s">
        <v>24</v>
      </c>
      <c r="G4" s="52"/>
      <c r="H4" s="52" t="s">
        <v>25</v>
      </c>
      <c r="I4" s="53"/>
      <c r="J4" s="50" t="s">
        <v>26</v>
      </c>
      <c r="K4" s="51"/>
      <c r="L4" s="52" t="s">
        <v>27</v>
      </c>
      <c r="M4" s="53"/>
      <c r="N4" s="54" t="s">
        <v>28</v>
      </c>
      <c r="O4" s="52"/>
      <c r="P4" s="52" t="s">
        <v>29</v>
      </c>
      <c r="Q4" s="53"/>
      <c r="R4" s="54" t="s">
        <v>30</v>
      </c>
      <c r="S4" s="52"/>
      <c r="T4" s="52" t="s">
        <v>31</v>
      </c>
      <c r="U4" s="53"/>
      <c r="V4" s="76" t="s">
        <v>32</v>
      </c>
      <c r="W4" s="52"/>
      <c r="X4" s="52" t="s">
        <v>33</v>
      </c>
      <c r="Y4" s="53"/>
    </row>
    <row r="5" spans="1:25" s="1" customFormat="1" ht="21" customHeight="1" x14ac:dyDescent="0.35">
      <c r="A5" s="23" t="s">
        <v>3</v>
      </c>
      <c r="B5" s="65">
        <v>28</v>
      </c>
      <c r="C5" s="63"/>
      <c r="D5" s="63">
        <v>25</v>
      </c>
      <c r="E5" s="64"/>
      <c r="F5" s="65">
        <v>18</v>
      </c>
      <c r="G5" s="63"/>
      <c r="H5" s="63">
        <v>15</v>
      </c>
      <c r="I5" s="64"/>
      <c r="J5" s="65">
        <v>51</v>
      </c>
      <c r="K5" s="63"/>
      <c r="L5" s="63">
        <v>59</v>
      </c>
      <c r="M5" s="64"/>
      <c r="N5" s="65">
        <v>20</v>
      </c>
      <c r="O5" s="63"/>
      <c r="P5" s="63">
        <v>15</v>
      </c>
      <c r="Q5" s="64"/>
      <c r="R5" s="65">
        <v>33</v>
      </c>
      <c r="S5" s="63"/>
      <c r="T5" s="63">
        <v>35</v>
      </c>
      <c r="U5" s="64"/>
      <c r="V5" s="72">
        <v>42</v>
      </c>
      <c r="W5" s="63"/>
      <c r="X5" s="63">
        <v>40</v>
      </c>
      <c r="Y5" s="64"/>
    </row>
    <row r="6" spans="1:25" s="1" customFormat="1" ht="18.600000000000001" thickBot="1" x14ac:dyDescent="0.4">
      <c r="A6" s="33" t="s">
        <v>37</v>
      </c>
      <c r="B6" s="60">
        <f>(C26/B5)*10</f>
        <v>3.5714285714285716</v>
      </c>
      <c r="C6" s="61"/>
      <c r="D6" s="58">
        <f>(E26/D5)*10</f>
        <v>9.2000000000000011</v>
      </c>
      <c r="E6" s="59"/>
      <c r="F6" s="60">
        <f>(G26/F5)*10</f>
        <v>9.4444444444444446</v>
      </c>
      <c r="G6" s="61"/>
      <c r="H6" s="58">
        <f>(I26/H5)*10</f>
        <v>8</v>
      </c>
      <c r="I6" s="59"/>
      <c r="J6" s="60">
        <f>(K26/J5)*10</f>
        <v>5.4901960784313726</v>
      </c>
      <c r="K6" s="61"/>
      <c r="L6" s="58">
        <f>(M26/L5)*10</f>
        <v>7.4576271186440675</v>
      </c>
      <c r="M6" s="59"/>
      <c r="N6" s="60">
        <f>(O26/N5)*10</f>
        <v>7</v>
      </c>
      <c r="O6" s="61"/>
      <c r="P6" s="58">
        <f>(Q26/P5)*10</f>
        <v>11.333333333333332</v>
      </c>
      <c r="Q6" s="59"/>
      <c r="R6" s="60">
        <f>(S26/R5)*10</f>
        <v>10.303030303030303</v>
      </c>
      <c r="S6" s="61"/>
      <c r="T6" s="58">
        <f>(U26/T5)*10</f>
        <v>5.4285714285714279</v>
      </c>
      <c r="U6" s="59"/>
      <c r="V6" s="62">
        <f>(W26/V5)*10</f>
        <v>12.142857142857142</v>
      </c>
      <c r="W6" s="61"/>
      <c r="X6" s="58">
        <f>(Y26/X5)*10</f>
        <v>8.25</v>
      </c>
      <c r="Y6" s="59"/>
    </row>
    <row r="7" spans="1:25" s="1" customFormat="1" ht="21" customHeight="1" x14ac:dyDescent="0.35">
      <c r="A7" s="34">
        <v>1</v>
      </c>
      <c r="B7" s="39">
        <v>5</v>
      </c>
      <c r="C7" s="29">
        <f>B7</f>
        <v>5</v>
      </c>
      <c r="D7" s="29">
        <v>0</v>
      </c>
      <c r="E7" s="36">
        <f>D7</f>
        <v>0</v>
      </c>
      <c r="F7" s="39">
        <v>0</v>
      </c>
      <c r="G7" s="29">
        <f>F7</f>
        <v>0</v>
      </c>
      <c r="H7" s="29">
        <v>0</v>
      </c>
      <c r="I7" s="36">
        <f>H7</f>
        <v>0</v>
      </c>
      <c r="J7" s="39">
        <v>5</v>
      </c>
      <c r="K7" s="29">
        <f>J7</f>
        <v>5</v>
      </c>
      <c r="L7" s="29">
        <v>1</v>
      </c>
      <c r="M7" s="36">
        <f>L7</f>
        <v>1</v>
      </c>
      <c r="N7" s="39">
        <v>0</v>
      </c>
      <c r="O7" s="29">
        <f>N7</f>
        <v>0</v>
      </c>
      <c r="P7" s="29">
        <v>2</v>
      </c>
      <c r="Q7" s="36">
        <f>P7</f>
        <v>2</v>
      </c>
      <c r="R7" s="39">
        <v>0</v>
      </c>
      <c r="S7" s="29">
        <f>R7</f>
        <v>0</v>
      </c>
      <c r="T7" s="29">
        <v>4</v>
      </c>
      <c r="U7" s="36">
        <f>T7</f>
        <v>4</v>
      </c>
      <c r="V7" s="35">
        <v>3</v>
      </c>
      <c r="W7" s="29">
        <f>V7</f>
        <v>3</v>
      </c>
      <c r="X7" s="29">
        <v>0</v>
      </c>
      <c r="Y7" s="36">
        <f>X7</f>
        <v>0</v>
      </c>
    </row>
    <row r="8" spans="1:25" s="1" customFormat="1" ht="21" customHeight="1" x14ac:dyDescent="0.35">
      <c r="A8" s="24">
        <v>2</v>
      </c>
      <c r="B8" s="38">
        <v>1</v>
      </c>
      <c r="C8" s="18">
        <f>C7+B8</f>
        <v>6</v>
      </c>
      <c r="D8" s="18">
        <v>8</v>
      </c>
      <c r="E8" s="32">
        <f>E7+D8</f>
        <v>8</v>
      </c>
      <c r="F8" s="38">
        <v>2</v>
      </c>
      <c r="G8" s="18">
        <f>G7+F8</f>
        <v>2</v>
      </c>
      <c r="H8" s="18">
        <v>0</v>
      </c>
      <c r="I8" s="32">
        <f>I7+H8</f>
        <v>0</v>
      </c>
      <c r="J8" s="38">
        <v>0</v>
      </c>
      <c r="K8" s="18">
        <f>K7+J8</f>
        <v>5</v>
      </c>
      <c r="L8" s="18">
        <v>3</v>
      </c>
      <c r="M8" s="32">
        <f>M7+L8</f>
        <v>4</v>
      </c>
      <c r="N8" s="38">
        <v>2</v>
      </c>
      <c r="O8" s="18">
        <f>O7+N8</f>
        <v>2</v>
      </c>
      <c r="P8" s="18">
        <v>1</v>
      </c>
      <c r="Q8" s="32">
        <f>Q7+P8</f>
        <v>3</v>
      </c>
      <c r="R8" s="38">
        <v>1</v>
      </c>
      <c r="S8" s="18">
        <f>S7+R8</f>
        <v>1</v>
      </c>
      <c r="T8" s="18">
        <v>0</v>
      </c>
      <c r="U8" s="32">
        <f>U7+T8</f>
        <v>4</v>
      </c>
      <c r="V8" s="20">
        <v>3</v>
      </c>
      <c r="W8" s="18">
        <f>W7+V8</f>
        <v>6</v>
      </c>
      <c r="X8" s="18">
        <v>0</v>
      </c>
      <c r="Y8" s="32">
        <f>Y7+X8</f>
        <v>0</v>
      </c>
    </row>
    <row r="9" spans="1:25" s="1" customFormat="1" ht="18" x14ac:dyDescent="0.35">
      <c r="A9" s="24">
        <v>3</v>
      </c>
      <c r="B9" s="40">
        <v>0</v>
      </c>
      <c r="C9" s="19">
        <f>C8+B9</f>
        <v>6</v>
      </c>
      <c r="D9" s="19">
        <v>1</v>
      </c>
      <c r="E9" s="37">
        <f>E8+D9</f>
        <v>9</v>
      </c>
      <c r="F9" s="40">
        <v>0</v>
      </c>
      <c r="G9" s="19">
        <f>G8+F9</f>
        <v>2</v>
      </c>
      <c r="H9" s="19">
        <v>1</v>
      </c>
      <c r="I9" s="37">
        <f>I8+H9</f>
        <v>1</v>
      </c>
      <c r="J9" s="40">
        <v>1</v>
      </c>
      <c r="K9" s="19">
        <f>K8+J9</f>
        <v>6</v>
      </c>
      <c r="L9" s="19">
        <v>6</v>
      </c>
      <c r="M9" s="37">
        <f>M8+L9</f>
        <v>10</v>
      </c>
      <c r="N9" s="40">
        <v>0</v>
      </c>
      <c r="O9" s="19">
        <f>O8+N9</f>
        <v>2</v>
      </c>
      <c r="P9" s="19">
        <v>1</v>
      </c>
      <c r="Q9" s="37">
        <f>Q8+P9</f>
        <v>4</v>
      </c>
      <c r="R9" s="40">
        <v>1</v>
      </c>
      <c r="S9" s="19">
        <f>S8+R9</f>
        <v>2</v>
      </c>
      <c r="T9" s="19">
        <v>0</v>
      </c>
      <c r="U9" s="37">
        <f>U8+T9</f>
        <v>4</v>
      </c>
      <c r="V9" s="21">
        <v>1</v>
      </c>
      <c r="W9" s="19">
        <f>W8+V9</f>
        <v>7</v>
      </c>
      <c r="X9" s="19">
        <v>4</v>
      </c>
      <c r="Y9" s="37">
        <f>Y8+X9</f>
        <v>4</v>
      </c>
    </row>
    <row r="10" spans="1:25" s="1" customFormat="1" ht="18" x14ac:dyDescent="0.35">
      <c r="A10" s="24">
        <v>4</v>
      </c>
      <c r="B10" s="40">
        <v>1</v>
      </c>
      <c r="C10" s="19">
        <f t="shared" ref="C10:C26" si="0">C9+B10</f>
        <v>7</v>
      </c>
      <c r="D10" s="19">
        <v>0</v>
      </c>
      <c r="E10" s="37">
        <f t="shared" ref="E10:E26" si="1">E9+D10</f>
        <v>9</v>
      </c>
      <c r="F10" s="40">
        <v>1</v>
      </c>
      <c r="G10" s="19">
        <f t="shared" ref="G10:G26" si="2">G9+F10</f>
        <v>3</v>
      </c>
      <c r="H10" s="19">
        <v>0</v>
      </c>
      <c r="I10" s="37">
        <f t="shared" ref="I10:I26" si="3">I9+H10</f>
        <v>1</v>
      </c>
      <c r="J10" s="40">
        <v>2</v>
      </c>
      <c r="K10" s="19">
        <f t="shared" ref="K10:K26" si="4">K9+J10</f>
        <v>8</v>
      </c>
      <c r="L10" s="19">
        <v>5</v>
      </c>
      <c r="M10" s="37">
        <f t="shared" ref="M10:M26" si="5">M9+L10</f>
        <v>15</v>
      </c>
      <c r="N10" s="40">
        <v>0</v>
      </c>
      <c r="O10" s="19">
        <f t="shared" ref="O10:O26" si="6">O9+N10</f>
        <v>2</v>
      </c>
      <c r="P10" s="19">
        <v>0</v>
      </c>
      <c r="Q10" s="37">
        <f t="shared" ref="Q10:Q26" si="7">Q9+P10</f>
        <v>4</v>
      </c>
      <c r="R10" s="40">
        <v>1</v>
      </c>
      <c r="S10" s="19">
        <f t="shared" ref="S10:S26" si="8">S9+R10</f>
        <v>3</v>
      </c>
      <c r="T10" s="19">
        <v>1</v>
      </c>
      <c r="U10" s="37">
        <f t="shared" ref="U10:U26" si="9">U9+T10</f>
        <v>5</v>
      </c>
      <c r="V10" s="21">
        <v>2</v>
      </c>
      <c r="W10" s="19">
        <f t="shared" ref="W10:W26" si="10">W9+V10</f>
        <v>9</v>
      </c>
      <c r="X10" s="19">
        <v>4</v>
      </c>
      <c r="Y10" s="37">
        <f t="shared" ref="Y10:Y26" si="11">Y9+X10</f>
        <v>8</v>
      </c>
    </row>
    <row r="11" spans="1:25" s="1" customFormat="1" ht="18" x14ac:dyDescent="0.35">
      <c r="A11" s="24">
        <v>5</v>
      </c>
      <c r="B11" s="40">
        <v>0</v>
      </c>
      <c r="C11" s="19">
        <f t="shared" si="0"/>
        <v>7</v>
      </c>
      <c r="D11" s="19">
        <v>0</v>
      </c>
      <c r="E11" s="37">
        <f t="shared" si="1"/>
        <v>9</v>
      </c>
      <c r="F11" s="40">
        <v>1</v>
      </c>
      <c r="G11" s="19">
        <f t="shared" si="2"/>
        <v>4</v>
      </c>
      <c r="H11" s="19">
        <v>2</v>
      </c>
      <c r="I11" s="37">
        <f t="shared" si="3"/>
        <v>3</v>
      </c>
      <c r="J11" s="40">
        <v>0</v>
      </c>
      <c r="K11" s="19">
        <f t="shared" si="4"/>
        <v>8</v>
      </c>
      <c r="L11" s="19">
        <v>0</v>
      </c>
      <c r="M11" s="37">
        <f t="shared" si="5"/>
        <v>15</v>
      </c>
      <c r="N11" s="40">
        <v>1</v>
      </c>
      <c r="O11" s="19">
        <f t="shared" si="6"/>
        <v>3</v>
      </c>
      <c r="P11" s="19">
        <v>0</v>
      </c>
      <c r="Q11" s="37">
        <f t="shared" si="7"/>
        <v>4</v>
      </c>
      <c r="R11" s="40">
        <v>3</v>
      </c>
      <c r="S11" s="19">
        <f t="shared" si="8"/>
        <v>6</v>
      </c>
      <c r="T11" s="19">
        <v>0</v>
      </c>
      <c r="U11" s="37">
        <f t="shared" si="9"/>
        <v>5</v>
      </c>
      <c r="V11" s="21">
        <v>7</v>
      </c>
      <c r="W11" s="19">
        <f t="shared" si="10"/>
        <v>16</v>
      </c>
      <c r="X11" s="19">
        <v>2</v>
      </c>
      <c r="Y11" s="37">
        <f t="shared" si="11"/>
        <v>10</v>
      </c>
    </row>
    <row r="12" spans="1:25" s="1" customFormat="1" ht="18" x14ac:dyDescent="0.35">
      <c r="A12" s="24">
        <v>6</v>
      </c>
      <c r="B12" s="40">
        <v>0</v>
      </c>
      <c r="C12" s="19">
        <f t="shared" si="0"/>
        <v>7</v>
      </c>
      <c r="D12" s="19">
        <v>0</v>
      </c>
      <c r="E12" s="37">
        <f t="shared" si="1"/>
        <v>9</v>
      </c>
      <c r="F12" s="40">
        <v>0</v>
      </c>
      <c r="G12" s="19">
        <f t="shared" si="2"/>
        <v>4</v>
      </c>
      <c r="H12" s="19">
        <v>0</v>
      </c>
      <c r="I12" s="37">
        <f t="shared" si="3"/>
        <v>3</v>
      </c>
      <c r="J12" s="40">
        <v>0</v>
      </c>
      <c r="K12" s="19">
        <f t="shared" si="4"/>
        <v>8</v>
      </c>
      <c r="L12" s="19">
        <v>6</v>
      </c>
      <c r="M12" s="37">
        <f t="shared" si="5"/>
        <v>21</v>
      </c>
      <c r="N12" s="40">
        <v>0</v>
      </c>
      <c r="O12" s="19">
        <f t="shared" si="6"/>
        <v>3</v>
      </c>
      <c r="P12" s="19">
        <v>0</v>
      </c>
      <c r="Q12" s="37">
        <f t="shared" si="7"/>
        <v>4</v>
      </c>
      <c r="R12" s="40">
        <v>1</v>
      </c>
      <c r="S12" s="19">
        <f t="shared" si="8"/>
        <v>7</v>
      </c>
      <c r="T12" s="19">
        <v>0</v>
      </c>
      <c r="U12" s="37">
        <f t="shared" si="9"/>
        <v>5</v>
      </c>
      <c r="V12" s="21">
        <v>3</v>
      </c>
      <c r="W12" s="19">
        <f t="shared" si="10"/>
        <v>19</v>
      </c>
      <c r="X12" s="19">
        <v>4</v>
      </c>
      <c r="Y12" s="37">
        <f t="shared" si="11"/>
        <v>14</v>
      </c>
    </row>
    <row r="13" spans="1:25" s="1" customFormat="1" ht="18" x14ac:dyDescent="0.35">
      <c r="A13" s="24">
        <v>7</v>
      </c>
      <c r="B13" s="40">
        <v>0</v>
      </c>
      <c r="C13" s="19">
        <f t="shared" si="0"/>
        <v>7</v>
      </c>
      <c r="D13" s="19">
        <v>3</v>
      </c>
      <c r="E13" s="37">
        <f t="shared" si="1"/>
        <v>12</v>
      </c>
      <c r="F13" s="40">
        <v>0</v>
      </c>
      <c r="G13" s="19">
        <f t="shared" si="2"/>
        <v>4</v>
      </c>
      <c r="H13" s="19">
        <v>0</v>
      </c>
      <c r="I13" s="37">
        <f t="shared" si="3"/>
        <v>3</v>
      </c>
      <c r="J13" s="40">
        <v>6</v>
      </c>
      <c r="K13" s="19">
        <f t="shared" si="4"/>
        <v>14</v>
      </c>
      <c r="L13" s="19">
        <v>0</v>
      </c>
      <c r="M13" s="37">
        <f t="shared" si="5"/>
        <v>21</v>
      </c>
      <c r="N13" s="40">
        <v>3</v>
      </c>
      <c r="O13" s="19">
        <f t="shared" si="6"/>
        <v>6</v>
      </c>
      <c r="P13" s="19">
        <v>0</v>
      </c>
      <c r="Q13" s="37">
        <f t="shared" si="7"/>
        <v>4</v>
      </c>
      <c r="R13" s="40">
        <v>2</v>
      </c>
      <c r="S13" s="19">
        <f t="shared" si="8"/>
        <v>9</v>
      </c>
      <c r="T13" s="19">
        <v>0</v>
      </c>
      <c r="U13" s="37">
        <f t="shared" si="9"/>
        <v>5</v>
      </c>
      <c r="V13" s="21">
        <v>1</v>
      </c>
      <c r="W13" s="19">
        <f t="shared" si="10"/>
        <v>20</v>
      </c>
      <c r="X13" s="19">
        <v>2</v>
      </c>
      <c r="Y13" s="37">
        <f t="shared" si="11"/>
        <v>16</v>
      </c>
    </row>
    <row r="14" spans="1:25" s="1" customFormat="1" ht="18" x14ac:dyDescent="0.35">
      <c r="A14" s="24">
        <v>8</v>
      </c>
      <c r="B14" s="40">
        <v>0</v>
      </c>
      <c r="C14" s="19">
        <f t="shared" si="0"/>
        <v>7</v>
      </c>
      <c r="D14" s="19">
        <v>2</v>
      </c>
      <c r="E14" s="37">
        <f t="shared" si="1"/>
        <v>14</v>
      </c>
      <c r="F14" s="40">
        <v>0</v>
      </c>
      <c r="G14" s="19">
        <f t="shared" si="2"/>
        <v>4</v>
      </c>
      <c r="H14" s="19">
        <v>3</v>
      </c>
      <c r="I14" s="37">
        <f t="shared" si="3"/>
        <v>6</v>
      </c>
      <c r="J14" s="40">
        <v>1</v>
      </c>
      <c r="K14" s="19">
        <f t="shared" si="4"/>
        <v>15</v>
      </c>
      <c r="L14" s="19">
        <v>4</v>
      </c>
      <c r="M14" s="37">
        <f t="shared" si="5"/>
        <v>25</v>
      </c>
      <c r="N14" s="40">
        <v>0</v>
      </c>
      <c r="O14" s="19">
        <f t="shared" si="6"/>
        <v>6</v>
      </c>
      <c r="P14" s="19">
        <v>0</v>
      </c>
      <c r="Q14" s="37">
        <f t="shared" si="7"/>
        <v>4</v>
      </c>
      <c r="R14" s="40">
        <v>0</v>
      </c>
      <c r="S14" s="19">
        <f t="shared" si="8"/>
        <v>9</v>
      </c>
      <c r="T14" s="19">
        <v>1</v>
      </c>
      <c r="U14" s="37">
        <f t="shared" si="9"/>
        <v>6</v>
      </c>
      <c r="V14" s="21">
        <v>6</v>
      </c>
      <c r="W14" s="19">
        <f t="shared" si="10"/>
        <v>26</v>
      </c>
      <c r="X14" s="19">
        <v>0</v>
      </c>
      <c r="Y14" s="37">
        <f t="shared" si="11"/>
        <v>16</v>
      </c>
    </row>
    <row r="15" spans="1:25" s="1" customFormat="1" ht="18" x14ac:dyDescent="0.35">
      <c r="A15" s="24">
        <v>9</v>
      </c>
      <c r="B15" s="40">
        <v>2</v>
      </c>
      <c r="C15" s="19">
        <f t="shared" si="0"/>
        <v>9</v>
      </c>
      <c r="D15" s="19">
        <v>0</v>
      </c>
      <c r="E15" s="37">
        <f t="shared" si="1"/>
        <v>14</v>
      </c>
      <c r="F15" s="40">
        <v>1</v>
      </c>
      <c r="G15" s="19">
        <f t="shared" si="2"/>
        <v>5</v>
      </c>
      <c r="H15" s="19">
        <v>0</v>
      </c>
      <c r="I15" s="37">
        <f t="shared" si="3"/>
        <v>6</v>
      </c>
      <c r="J15" s="40">
        <v>0</v>
      </c>
      <c r="K15" s="19">
        <f t="shared" si="4"/>
        <v>15</v>
      </c>
      <c r="L15" s="19">
        <v>0</v>
      </c>
      <c r="M15" s="37">
        <f t="shared" si="5"/>
        <v>25</v>
      </c>
      <c r="N15" s="40">
        <v>0</v>
      </c>
      <c r="O15" s="19">
        <f t="shared" si="6"/>
        <v>6</v>
      </c>
      <c r="P15" s="19">
        <v>0</v>
      </c>
      <c r="Q15" s="37">
        <f t="shared" si="7"/>
        <v>4</v>
      </c>
      <c r="R15" s="40">
        <v>3</v>
      </c>
      <c r="S15" s="19">
        <f t="shared" si="8"/>
        <v>12</v>
      </c>
      <c r="T15" s="19">
        <v>0</v>
      </c>
      <c r="U15" s="37">
        <f t="shared" si="9"/>
        <v>6</v>
      </c>
      <c r="V15" s="21">
        <v>5</v>
      </c>
      <c r="W15" s="19">
        <f t="shared" si="10"/>
        <v>31</v>
      </c>
      <c r="X15" s="19">
        <v>2</v>
      </c>
      <c r="Y15" s="37">
        <f t="shared" si="11"/>
        <v>18</v>
      </c>
    </row>
    <row r="16" spans="1:25" s="1" customFormat="1" ht="18" x14ac:dyDescent="0.35">
      <c r="A16" s="24">
        <v>10</v>
      </c>
      <c r="B16" s="40">
        <v>0</v>
      </c>
      <c r="C16" s="19">
        <f t="shared" si="0"/>
        <v>9</v>
      </c>
      <c r="D16" s="19">
        <v>0</v>
      </c>
      <c r="E16" s="37">
        <f t="shared" si="1"/>
        <v>14</v>
      </c>
      <c r="F16" s="40">
        <v>0</v>
      </c>
      <c r="G16" s="19">
        <f t="shared" si="2"/>
        <v>5</v>
      </c>
      <c r="H16" s="19">
        <v>1</v>
      </c>
      <c r="I16" s="37">
        <f t="shared" si="3"/>
        <v>7</v>
      </c>
      <c r="J16" s="40">
        <v>0</v>
      </c>
      <c r="K16" s="19">
        <f t="shared" si="4"/>
        <v>15</v>
      </c>
      <c r="L16" s="19">
        <v>6</v>
      </c>
      <c r="M16" s="37">
        <f t="shared" si="5"/>
        <v>31</v>
      </c>
      <c r="N16" s="40">
        <v>0</v>
      </c>
      <c r="O16" s="19">
        <f t="shared" si="6"/>
        <v>6</v>
      </c>
      <c r="P16" s="19">
        <v>1</v>
      </c>
      <c r="Q16" s="37">
        <f t="shared" si="7"/>
        <v>5</v>
      </c>
      <c r="R16" s="40">
        <v>4</v>
      </c>
      <c r="S16" s="19">
        <f t="shared" si="8"/>
        <v>16</v>
      </c>
      <c r="T16" s="19">
        <v>1</v>
      </c>
      <c r="U16" s="37">
        <f t="shared" si="9"/>
        <v>7</v>
      </c>
      <c r="V16" s="21">
        <v>1</v>
      </c>
      <c r="W16" s="19">
        <f t="shared" si="10"/>
        <v>32</v>
      </c>
      <c r="X16" s="19">
        <v>0</v>
      </c>
      <c r="Y16" s="37">
        <f t="shared" si="11"/>
        <v>18</v>
      </c>
    </row>
    <row r="17" spans="1:25" s="1" customFormat="1" ht="18" x14ac:dyDescent="0.35">
      <c r="A17" s="24">
        <v>11</v>
      </c>
      <c r="B17" s="40">
        <v>0</v>
      </c>
      <c r="C17" s="19">
        <f t="shared" si="0"/>
        <v>9</v>
      </c>
      <c r="D17" s="19">
        <v>5</v>
      </c>
      <c r="E17" s="37">
        <f t="shared" si="1"/>
        <v>19</v>
      </c>
      <c r="F17" s="40">
        <v>2</v>
      </c>
      <c r="G17" s="19">
        <f t="shared" si="2"/>
        <v>7</v>
      </c>
      <c r="H17" s="19">
        <v>0</v>
      </c>
      <c r="I17" s="37">
        <f t="shared" si="3"/>
        <v>7</v>
      </c>
      <c r="J17" s="40">
        <v>0</v>
      </c>
      <c r="K17" s="19">
        <f t="shared" si="4"/>
        <v>15</v>
      </c>
      <c r="L17" s="19">
        <v>1</v>
      </c>
      <c r="M17" s="37">
        <f t="shared" si="5"/>
        <v>32</v>
      </c>
      <c r="N17" s="40">
        <v>0</v>
      </c>
      <c r="O17" s="19">
        <f t="shared" si="6"/>
        <v>6</v>
      </c>
      <c r="P17" s="19">
        <v>0</v>
      </c>
      <c r="Q17" s="37">
        <f t="shared" si="7"/>
        <v>5</v>
      </c>
      <c r="R17" s="40">
        <v>1</v>
      </c>
      <c r="S17" s="19">
        <f t="shared" si="8"/>
        <v>17</v>
      </c>
      <c r="T17" s="19">
        <v>4</v>
      </c>
      <c r="U17" s="37">
        <f t="shared" si="9"/>
        <v>11</v>
      </c>
      <c r="V17" s="21">
        <v>1</v>
      </c>
      <c r="W17" s="19">
        <f t="shared" si="10"/>
        <v>33</v>
      </c>
      <c r="X17" s="19">
        <v>1</v>
      </c>
      <c r="Y17" s="37">
        <f t="shared" si="11"/>
        <v>19</v>
      </c>
    </row>
    <row r="18" spans="1:25" s="1" customFormat="1" ht="18" x14ac:dyDescent="0.35">
      <c r="A18" s="24">
        <v>12</v>
      </c>
      <c r="B18" s="40">
        <v>1</v>
      </c>
      <c r="C18" s="19">
        <f t="shared" si="0"/>
        <v>10</v>
      </c>
      <c r="D18" s="19">
        <v>1</v>
      </c>
      <c r="E18" s="37">
        <f t="shared" si="1"/>
        <v>20</v>
      </c>
      <c r="F18" s="40">
        <v>2</v>
      </c>
      <c r="G18" s="19">
        <f t="shared" si="2"/>
        <v>9</v>
      </c>
      <c r="H18" s="19">
        <v>0</v>
      </c>
      <c r="I18" s="37">
        <f t="shared" si="3"/>
        <v>7</v>
      </c>
      <c r="J18" s="40">
        <v>6</v>
      </c>
      <c r="K18" s="19">
        <f t="shared" si="4"/>
        <v>21</v>
      </c>
      <c r="L18" s="19">
        <v>0</v>
      </c>
      <c r="M18" s="37">
        <f t="shared" si="5"/>
        <v>32</v>
      </c>
      <c r="N18" s="40">
        <v>0</v>
      </c>
      <c r="O18" s="19">
        <f t="shared" si="6"/>
        <v>6</v>
      </c>
      <c r="P18" s="19">
        <v>1</v>
      </c>
      <c r="Q18" s="37">
        <f t="shared" si="7"/>
        <v>6</v>
      </c>
      <c r="R18" s="40">
        <v>0</v>
      </c>
      <c r="S18" s="19">
        <f t="shared" si="8"/>
        <v>17</v>
      </c>
      <c r="T18" s="19">
        <v>0</v>
      </c>
      <c r="U18" s="37">
        <f t="shared" si="9"/>
        <v>11</v>
      </c>
      <c r="V18" s="21">
        <v>5</v>
      </c>
      <c r="W18" s="19">
        <f t="shared" si="10"/>
        <v>38</v>
      </c>
      <c r="X18" s="19">
        <v>3</v>
      </c>
      <c r="Y18" s="37">
        <f t="shared" si="11"/>
        <v>22</v>
      </c>
    </row>
    <row r="19" spans="1:25" s="1" customFormat="1" ht="18" x14ac:dyDescent="0.35">
      <c r="A19" s="24">
        <v>13</v>
      </c>
      <c r="B19" s="40">
        <v>0</v>
      </c>
      <c r="C19" s="19">
        <f t="shared" si="0"/>
        <v>10</v>
      </c>
      <c r="D19" s="19">
        <v>0</v>
      </c>
      <c r="E19" s="37">
        <f t="shared" si="1"/>
        <v>20</v>
      </c>
      <c r="F19" s="40">
        <v>0</v>
      </c>
      <c r="G19" s="19">
        <f t="shared" si="2"/>
        <v>9</v>
      </c>
      <c r="H19" s="19">
        <v>1</v>
      </c>
      <c r="I19" s="37">
        <f t="shared" si="3"/>
        <v>8</v>
      </c>
      <c r="J19" s="40">
        <v>0</v>
      </c>
      <c r="K19" s="19">
        <f t="shared" si="4"/>
        <v>21</v>
      </c>
      <c r="L19" s="19">
        <v>1</v>
      </c>
      <c r="M19" s="37">
        <f t="shared" si="5"/>
        <v>33</v>
      </c>
      <c r="N19" s="40">
        <v>1</v>
      </c>
      <c r="O19" s="19">
        <f t="shared" si="6"/>
        <v>7</v>
      </c>
      <c r="P19" s="19">
        <v>0</v>
      </c>
      <c r="Q19" s="37">
        <f t="shared" si="7"/>
        <v>6</v>
      </c>
      <c r="R19" s="40">
        <v>7</v>
      </c>
      <c r="S19" s="19">
        <f t="shared" si="8"/>
        <v>24</v>
      </c>
      <c r="T19" s="19">
        <v>0</v>
      </c>
      <c r="U19" s="37">
        <f t="shared" si="9"/>
        <v>11</v>
      </c>
      <c r="V19" s="21">
        <v>1</v>
      </c>
      <c r="W19" s="19">
        <f t="shared" si="10"/>
        <v>39</v>
      </c>
      <c r="X19" s="19">
        <v>3</v>
      </c>
      <c r="Y19" s="37">
        <f t="shared" si="11"/>
        <v>25</v>
      </c>
    </row>
    <row r="20" spans="1:25" s="1" customFormat="1" ht="18" x14ac:dyDescent="0.35">
      <c r="A20" s="24">
        <v>14</v>
      </c>
      <c r="B20" s="40">
        <v>0</v>
      </c>
      <c r="C20" s="19">
        <f t="shared" si="0"/>
        <v>10</v>
      </c>
      <c r="D20" s="19">
        <v>0</v>
      </c>
      <c r="E20" s="37">
        <f t="shared" si="1"/>
        <v>20</v>
      </c>
      <c r="F20" s="40">
        <v>2</v>
      </c>
      <c r="G20" s="19">
        <f t="shared" si="2"/>
        <v>11</v>
      </c>
      <c r="H20" s="19">
        <v>0</v>
      </c>
      <c r="I20" s="37">
        <f t="shared" si="3"/>
        <v>8</v>
      </c>
      <c r="J20" s="40">
        <v>0</v>
      </c>
      <c r="K20" s="19">
        <f t="shared" si="4"/>
        <v>21</v>
      </c>
      <c r="L20" s="19">
        <v>4</v>
      </c>
      <c r="M20" s="37">
        <f t="shared" si="5"/>
        <v>37</v>
      </c>
      <c r="N20" s="40">
        <v>2</v>
      </c>
      <c r="O20" s="19">
        <f t="shared" si="6"/>
        <v>9</v>
      </c>
      <c r="P20" s="19">
        <v>1</v>
      </c>
      <c r="Q20" s="37">
        <f t="shared" si="7"/>
        <v>7</v>
      </c>
      <c r="R20" s="40">
        <v>0</v>
      </c>
      <c r="S20" s="19">
        <f t="shared" si="8"/>
        <v>24</v>
      </c>
      <c r="T20" s="19">
        <v>0</v>
      </c>
      <c r="U20" s="37">
        <f t="shared" si="9"/>
        <v>11</v>
      </c>
      <c r="V20" s="21">
        <v>1</v>
      </c>
      <c r="W20" s="19">
        <f t="shared" si="10"/>
        <v>40</v>
      </c>
      <c r="X20" s="19">
        <v>1</v>
      </c>
      <c r="Y20" s="37">
        <f t="shared" si="11"/>
        <v>26</v>
      </c>
    </row>
    <row r="21" spans="1:25" s="1" customFormat="1" ht="18" x14ac:dyDescent="0.35">
      <c r="A21" s="24">
        <v>15</v>
      </c>
      <c r="B21" s="40">
        <v>0</v>
      </c>
      <c r="C21" s="19">
        <f t="shared" si="0"/>
        <v>10</v>
      </c>
      <c r="D21" s="19">
        <v>0</v>
      </c>
      <c r="E21" s="37">
        <f t="shared" si="1"/>
        <v>20</v>
      </c>
      <c r="F21" s="40">
        <v>4</v>
      </c>
      <c r="G21" s="19">
        <f t="shared" si="2"/>
        <v>15</v>
      </c>
      <c r="H21" s="19">
        <v>0</v>
      </c>
      <c r="I21" s="37">
        <f t="shared" si="3"/>
        <v>8</v>
      </c>
      <c r="J21" s="40">
        <v>0</v>
      </c>
      <c r="K21" s="19">
        <f t="shared" si="4"/>
        <v>21</v>
      </c>
      <c r="L21" s="19">
        <v>2</v>
      </c>
      <c r="M21" s="37">
        <f t="shared" si="5"/>
        <v>39</v>
      </c>
      <c r="N21" s="40">
        <v>0</v>
      </c>
      <c r="O21" s="19">
        <f t="shared" si="6"/>
        <v>9</v>
      </c>
      <c r="P21" s="19">
        <v>4</v>
      </c>
      <c r="Q21" s="37">
        <f t="shared" si="7"/>
        <v>11</v>
      </c>
      <c r="R21" s="40">
        <v>4</v>
      </c>
      <c r="S21" s="19">
        <f t="shared" si="8"/>
        <v>28</v>
      </c>
      <c r="T21" s="19">
        <v>0</v>
      </c>
      <c r="U21" s="37">
        <f t="shared" si="9"/>
        <v>11</v>
      </c>
      <c r="V21" s="21">
        <v>2</v>
      </c>
      <c r="W21" s="19">
        <f t="shared" si="10"/>
        <v>42</v>
      </c>
      <c r="X21" s="19">
        <v>2</v>
      </c>
      <c r="Y21" s="37">
        <f t="shared" si="11"/>
        <v>28</v>
      </c>
    </row>
    <row r="22" spans="1:25" s="1" customFormat="1" ht="18" x14ac:dyDescent="0.35">
      <c r="A22" s="24">
        <v>16</v>
      </c>
      <c r="B22" s="40">
        <v>0</v>
      </c>
      <c r="C22" s="19">
        <f t="shared" si="0"/>
        <v>10</v>
      </c>
      <c r="D22" s="19">
        <v>0</v>
      </c>
      <c r="E22" s="37">
        <f t="shared" si="1"/>
        <v>20</v>
      </c>
      <c r="F22" s="40">
        <v>0</v>
      </c>
      <c r="G22" s="19">
        <f t="shared" si="2"/>
        <v>15</v>
      </c>
      <c r="H22" s="19">
        <v>0</v>
      </c>
      <c r="I22" s="37">
        <f t="shared" si="3"/>
        <v>8</v>
      </c>
      <c r="J22" s="40">
        <v>0</v>
      </c>
      <c r="K22" s="19">
        <f t="shared" si="4"/>
        <v>21</v>
      </c>
      <c r="L22" s="19">
        <v>0</v>
      </c>
      <c r="M22" s="37">
        <f t="shared" si="5"/>
        <v>39</v>
      </c>
      <c r="N22" s="40">
        <v>1</v>
      </c>
      <c r="O22" s="19">
        <f t="shared" si="6"/>
        <v>10</v>
      </c>
      <c r="P22" s="19">
        <v>2</v>
      </c>
      <c r="Q22" s="37">
        <f t="shared" si="7"/>
        <v>13</v>
      </c>
      <c r="R22" s="40">
        <v>1</v>
      </c>
      <c r="S22" s="19">
        <f t="shared" si="8"/>
        <v>29</v>
      </c>
      <c r="T22" s="19">
        <v>1</v>
      </c>
      <c r="U22" s="37">
        <f t="shared" si="9"/>
        <v>12</v>
      </c>
      <c r="V22" s="21">
        <v>0</v>
      </c>
      <c r="W22" s="19">
        <f t="shared" si="10"/>
        <v>42</v>
      </c>
      <c r="X22" s="19">
        <v>1</v>
      </c>
      <c r="Y22" s="37">
        <f t="shared" si="11"/>
        <v>29</v>
      </c>
    </row>
    <row r="23" spans="1:25" s="1" customFormat="1" ht="18" x14ac:dyDescent="0.35">
      <c r="A23" s="24">
        <v>17</v>
      </c>
      <c r="B23" s="40">
        <v>0</v>
      </c>
      <c r="C23" s="19">
        <f t="shared" si="0"/>
        <v>10</v>
      </c>
      <c r="D23" s="19">
        <v>0</v>
      </c>
      <c r="E23" s="37">
        <f t="shared" si="1"/>
        <v>20</v>
      </c>
      <c r="F23" s="40">
        <v>0</v>
      </c>
      <c r="G23" s="19">
        <f t="shared" si="2"/>
        <v>15</v>
      </c>
      <c r="H23" s="19">
        <v>3</v>
      </c>
      <c r="I23" s="37">
        <f t="shared" si="3"/>
        <v>11</v>
      </c>
      <c r="J23" s="40">
        <v>0</v>
      </c>
      <c r="K23" s="19">
        <f t="shared" si="4"/>
        <v>21</v>
      </c>
      <c r="L23" s="19">
        <v>0</v>
      </c>
      <c r="M23" s="37">
        <f t="shared" si="5"/>
        <v>39</v>
      </c>
      <c r="N23" s="40">
        <v>0</v>
      </c>
      <c r="O23" s="19">
        <f t="shared" si="6"/>
        <v>10</v>
      </c>
      <c r="P23" s="19">
        <v>0</v>
      </c>
      <c r="Q23" s="37">
        <f t="shared" si="7"/>
        <v>13</v>
      </c>
      <c r="R23" s="40">
        <v>0</v>
      </c>
      <c r="S23" s="19">
        <f t="shared" si="8"/>
        <v>29</v>
      </c>
      <c r="T23" s="19">
        <v>1</v>
      </c>
      <c r="U23" s="37">
        <f t="shared" si="9"/>
        <v>13</v>
      </c>
      <c r="V23" s="21">
        <v>2</v>
      </c>
      <c r="W23" s="19">
        <f t="shared" si="10"/>
        <v>44</v>
      </c>
      <c r="X23" s="19">
        <v>2</v>
      </c>
      <c r="Y23" s="37">
        <f t="shared" si="11"/>
        <v>31</v>
      </c>
    </row>
    <row r="24" spans="1:25" s="1" customFormat="1" ht="18" x14ac:dyDescent="0.35">
      <c r="A24" s="24">
        <v>18</v>
      </c>
      <c r="B24" s="40">
        <v>0</v>
      </c>
      <c r="C24" s="19">
        <f t="shared" si="0"/>
        <v>10</v>
      </c>
      <c r="D24" s="19">
        <v>2</v>
      </c>
      <c r="E24" s="37">
        <f t="shared" si="1"/>
        <v>22</v>
      </c>
      <c r="F24" s="40">
        <v>0</v>
      </c>
      <c r="G24" s="19">
        <f t="shared" si="2"/>
        <v>15</v>
      </c>
      <c r="H24" s="19">
        <v>0</v>
      </c>
      <c r="I24" s="37">
        <f t="shared" si="3"/>
        <v>11</v>
      </c>
      <c r="J24" s="40">
        <v>1</v>
      </c>
      <c r="K24" s="19">
        <f t="shared" si="4"/>
        <v>22</v>
      </c>
      <c r="L24" s="19">
        <v>2</v>
      </c>
      <c r="M24" s="37">
        <f t="shared" si="5"/>
        <v>41</v>
      </c>
      <c r="N24" s="40">
        <v>1</v>
      </c>
      <c r="O24" s="19">
        <f t="shared" si="6"/>
        <v>11</v>
      </c>
      <c r="P24" s="19">
        <v>2</v>
      </c>
      <c r="Q24" s="37">
        <f t="shared" si="7"/>
        <v>15</v>
      </c>
      <c r="R24" s="40">
        <v>0</v>
      </c>
      <c r="S24" s="19">
        <f t="shared" si="8"/>
        <v>29</v>
      </c>
      <c r="T24" s="19">
        <v>1</v>
      </c>
      <c r="U24" s="37">
        <f t="shared" si="9"/>
        <v>14</v>
      </c>
      <c r="V24" s="21">
        <v>1</v>
      </c>
      <c r="W24" s="19">
        <f t="shared" si="10"/>
        <v>45</v>
      </c>
      <c r="X24" s="19">
        <v>0</v>
      </c>
      <c r="Y24" s="37">
        <f t="shared" si="11"/>
        <v>31</v>
      </c>
    </row>
    <row r="25" spans="1:25" s="1" customFormat="1" ht="18" x14ac:dyDescent="0.35">
      <c r="A25" s="24">
        <v>19</v>
      </c>
      <c r="B25" s="40">
        <v>0</v>
      </c>
      <c r="C25" s="19">
        <f t="shared" si="0"/>
        <v>10</v>
      </c>
      <c r="D25" s="19">
        <v>1</v>
      </c>
      <c r="E25" s="37">
        <f t="shared" si="1"/>
        <v>23</v>
      </c>
      <c r="F25" s="40">
        <v>1</v>
      </c>
      <c r="G25" s="19">
        <f t="shared" si="2"/>
        <v>16</v>
      </c>
      <c r="H25" s="19">
        <v>1</v>
      </c>
      <c r="I25" s="37">
        <f t="shared" si="3"/>
        <v>12</v>
      </c>
      <c r="J25" s="40">
        <v>5</v>
      </c>
      <c r="K25" s="19">
        <f t="shared" si="4"/>
        <v>27</v>
      </c>
      <c r="L25" s="19">
        <v>0</v>
      </c>
      <c r="M25" s="37">
        <f t="shared" si="5"/>
        <v>41</v>
      </c>
      <c r="N25" s="40">
        <v>1</v>
      </c>
      <c r="O25" s="19">
        <f t="shared" si="6"/>
        <v>12</v>
      </c>
      <c r="P25" s="19">
        <v>0</v>
      </c>
      <c r="Q25" s="37">
        <f t="shared" si="7"/>
        <v>15</v>
      </c>
      <c r="R25" s="40">
        <v>3</v>
      </c>
      <c r="S25" s="19">
        <f t="shared" si="8"/>
        <v>32</v>
      </c>
      <c r="T25" s="19">
        <v>1</v>
      </c>
      <c r="U25" s="37">
        <f t="shared" si="9"/>
        <v>15</v>
      </c>
      <c r="V25" s="21">
        <v>0</v>
      </c>
      <c r="W25" s="19">
        <f t="shared" si="10"/>
        <v>45</v>
      </c>
      <c r="X25" s="19">
        <v>0</v>
      </c>
      <c r="Y25" s="37">
        <f t="shared" si="11"/>
        <v>31</v>
      </c>
    </row>
    <row r="26" spans="1:25" s="1" customFormat="1" ht="18.600000000000001" thickBot="1" x14ac:dyDescent="0.4">
      <c r="A26" s="24">
        <v>20</v>
      </c>
      <c r="B26" s="40">
        <v>0</v>
      </c>
      <c r="C26" s="19">
        <f t="shared" si="0"/>
        <v>10</v>
      </c>
      <c r="D26" s="19">
        <v>0</v>
      </c>
      <c r="E26" s="37">
        <f t="shared" si="1"/>
        <v>23</v>
      </c>
      <c r="F26" s="40">
        <v>1</v>
      </c>
      <c r="G26" s="19">
        <f t="shared" si="2"/>
        <v>17</v>
      </c>
      <c r="H26" s="19">
        <v>0</v>
      </c>
      <c r="I26" s="37">
        <f t="shared" si="3"/>
        <v>12</v>
      </c>
      <c r="J26" s="40">
        <v>1</v>
      </c>
      <c r="K26" s="19">
        <f t="shared" si="4"/>
        <v>28</v>
      </c>
      <c r="L26" s="19">
        <v>3</v>
      </c>
      <c r="M26" s="37">
        <f t="shared" si="5"/>
        <v>44</v>
      </c>
      <c r="N26" s="40">
        <v>2</v>
      </c>
      <c r="O26" s="19">
        <f t="shared" si="6"/>
        <v>14</v>
      </c>
      <c r="P26" s="19">
        <v>2</v>
      </c>
      <c r="Q26" s="37">
        <f t="shared" si="7"/>
        <v>17</v>
      </c>
      <c r="R26" s="40">
        <v>2</v>
      </c>
      <c r="S26" s="19">
        <f t="shared" si="8"/>
        <v>34</v>
      </c>
      <c r="T26" s="19">
        <v>4</v>
      </c>
      <c r="U26" s="37">
        <f t="shared" si="9"/>
        <v>19</v>
      </c>
      <c r="V26" s="21">
        <v>6</v>
      </c>
      <c r="W26" s="19">
        <f t="shared" si="10"/>
        <v>51</v>
      </c>
      <c r="X26" s="19">
        <v>2</v>
      </c>
      <c r="Y26" s="37">
        <f t="shared" si="11"/>
        <v>33</v>
      </c>
    </row>
    <row r="27" spans="1:25" s="1" customFormat="1" ht="18" hidden="1" x14ac:dyDescent="0.35">
      <c r="A27" s="28" t="s">
        <v>39</v>
      </c>
      <c r="B27" s="82">
        <f>COUNTA(B7:B26)</f>
        <v>20</v>
      </c>
      <c r="C27" s="83"/>
      <c r="D27" s="82">
        <f>COUNTA(D7:D26)</f>
        <v>20</v>
      </c>
      <c r="E27" s="83"/>
      <c r="F27" s="80">
        <f>COUNTA(F7:F26)</f>
        <v>20</v>
      </c>
      <c r="G27" s="81"/>
      <c r="H27" s="82">
        <f>COUNTA(H7:H26)</f>
        <v>20</v>
      </c>
      <c r="I27" s="83"/>
      <c r="J27" s="80">
        <f>COUNTA(J7:J26)</f>
        <v>20</v>
      </c>
      <c r="K27" s="81"/>
      <c r="L27" s="82">
        <f>COUNTA(L7:L26)</f>
        <v>20</v>
      </c>
      <c r="M27" s="83"/>
      <c r="N27" s="80">
        <f>COUNTA(N7:N26)</f>
        <v>20</v>
      </c>
      <c r="O27" s="81"/>
      <c r="P27" s="82">
        <f>COUNTA(P7:P26)</f>
        <v>20</v>
      </c>
      <c r="Q27" s="83"/>
      <c r="R27" s="80">
        <f>COUNTA(R7:R26)</f>
        <v>20</v>
      </c>
      <c r="S27" s="81"/>
      <c r="T27" s="82">
        <f>COUNTA(T7:T26)</f>
        <v>20</v>
      </c>
      <c r="U27" s="83"/>
      <c r="V27" s="96">
        <f>COUNTA(V7:V26)</f>
        <v>20</v>
      </c>
      <c r="W27" s="81"/>
      <c r="X27" s="82">
        <f>COUNTA(X7:X26)</f>
        <v>20</v>
      </c>
      <c r="Y27" s="83"/>
    </row>
    <row r="28" spans="1:25" s="1" customFormat="1" ht="18" hidden="1" x14ac:dyDescent="0.35">
      <c r="A28" s="25" t="s">
        <v>14</v>
      </c>
      <c r="B28" s="84">
        <f>MAX(B7:B26)</f>
        <v>5</v>
      </c>
      <c r="C28" s="85"/>
      <c r="D28" s="86">
        <f>MAX(D7:D26)</f>
        <v>8</v>
      </c>
      <c r="E28" s="87"/>
      <c r="F28" s="84">
        <f>MAX(F7:F26)</f>
        <v>4</v>
      </c>
      <c r="G28" s="85"/>
      <c r="H28" s="86">
        <f>MAX(H7:H26)</f>
        <v>3</v>
      </c>
      <c r="I28" s="87"/>
      <c r="J28" s="84">
        <f>MAX(J7:J26)</f>
        <v>6</v>
      </c>
      <c r="K28" s="85"/>
      <c r="L28" s="86">
        <f>MAX(L7:L26)</f>
        <v>6</v>
      </c>
      <c r="M28" s="87"/>
      <c r="N28" s="84">
        <f>MAX(N7:N26)</f>
        <v>3</v>
      </c>
      <c r="O28" s="85"/>
      <c r="P28" s="86">
        <f>MAX(P7:P26)</f>
        <v>4</v>
      </c>
      <c r="Q28" s="87"/>
      <c r="R28" s="84">
        <f>MAX(R7:R26)</f>
        <v>7</v>
      </c>
      <c r="S28" s="85"/>
      <c r="T28" s="86">
        <f>MAX(T7:T26)</f>
        <v>4</v>
      </c>
      <c r="U28" s="87"/>
      <c r="V28" s="97">
        <f>MAX(V7:V26)</f>
        <v>7</v>
      </c>
      <c r="W28" s="85"/>
      <c r="X28" s="86">
        <f>MAX(X7:X26)</f>
        <v>4</v>
      </c>
      <c r="Y28" s="87"/>
    </row>
    <row r="29" spans="1:25" s="1" customFormat="1" ht="18" hidden="1" x14ac:dyDescent="0.35">
      <c r="A29" s="25" t="s">
        <v>15</v>
      </c>
      <c r="B29" s="84">
        <f>COUNTIF(B7:B26,0)</f>
        <v>15</v>
      </c>
      <c r="C29" s="85"/>
      <c r="D29" s="86">
        <f>COUNTIF(D7:D26,0)</f>
        <v>12</v>
      </c>
      <c r="E29" s="87"/>
      <c r="F29" s="84">
        <f>COUNTIF(F7:F26,0)</f>
        <v>10</v>
      </c>
      <c r="G29" s="85"/>
      <c r="H29" s="86">
        <f>COUNTIF(H7:H26,0)</f>
        <v>13</v>
      </c>
      <c r="I29" s="87"/>
      <c r="J29" s="84">
        <f>COUNTIF(J7:J26,0)</f>
        <v>11</v>
      </c>
      <c r="K29" s="85"/>
      <c r="L29" s="86">
        <f>COUNTIF(L7:L26,0)</f>
        <v>7</v>
      </c>
      <c r="M29" s="87"/>
      <c r="N29" s="84">
        <f>COUNTIF(N7:N26,0)</f>
        <v>11</v>
      </c>
      <c r="O29" s="85"/>
      <c r="P29" s="86">
        <f>COUNTIF(P7:P26,0)</f>
        <v>10</v>
      </c>
      <c r="Q29" s="87"/>
      <c r="R29" s="84">
        <f>COUNTIF(R7:R26,0)</f>
        <v>6</v>
      </c>
      <c r="S29" s="85"/>
      <c r="T29" s="86">
        <f>COUNTIF(T7:T26,0)</f>
        <v>10</v>
      </c>
      <c r="U29" s="87"/>
      <c r="V29" s="97">
        <f>COUNTIF(V7:V26,0)</f>
        <v>2</v>
      </c>
      <c r="W29" s="85"/>
      <c r="X29" s="86">
        <f>COUNTIF(X7:X26,0)</f>
        <v>6</v>
      </c>
      <c r="Y29" s="87"/>
    </row>
    <row r="30" spans="1:25" s="1" customFormat="1" ht="18.600000000000001" hidden="1" thickBot="1" x14ac:dyDescent="0.4">
      <c r="A30" s="30" t="s">
        <v>16</v>
      </c>
      <c r="B30" s="88">
        <f>AVERAGE(B7:B26)</f>
        <v>0.5</v>
      </c>
      <c r="C30" s="89"/>
      <c r="D30" s="78">
        <f>AVERAGE(D7:D26)</f>
        <v>1.1499999999999999</v>
      </c>
      <c r="E30" s="79"/>
      <c r="F30" s="88">
        <f>AVERAGE(F7:F26)</f>
        <v>0.85</v>
      </c>
      <c r="G30" s="89"/>
      <c r="H30" s="78">
        <f>AVERAGE(H7:H26)</f>
        <v>0.6</v>
      </c>
      <c r="I30" s="79"/>
      <c r="J30" s="88">
        <f>AVERAGE(J7:J26)</f>
        <v>1.4</v>
      </c>
      <c r="K30" s="89"/>
      <c r="L30" s="78">
        <f>AVERAGE(L7:L26)</f>
        <v>2.2000000000000002</v>
      </c>
      <c r="M30" s="79"/>
      <c r="N30" s="88">
        <f>AVERAGE(N7:N26)</f>
        <v>0.7</v>
      </c>
      <c r="O30" s="89"/>
      <c r="P30" s="78">
        <f>AVERAGE(P7:P26)</f>
        <v>0.85</v>
      </c>
      <c r="Q30" s="79"/>
      <c r="R30" s="88">
        <f>AVERAGE(R7:R26)</f>
        <v>1.7</v>
      </c>
      <c r="S30" s="89"/>
      <c r="T30" s="78">
        <f>AVERAGE(T7:T26)</f>
        <v>0.95</v>
      </c>
      <c r="U30" s="79"/>
      <c r="V30" s="119">
        <f>AVERAGE(V7:V26)</f>
        <v>2.5499999999999998</v>
      </c>
      <c r="W30" s="89"/>
      <c r="X30" s="78">
        <f>AVERAGE(X7:X26)</f>
        <v>1.65</v>
      </c>
      <c r="Y30" s="79"/>
    </row>
    <row r="31" spans="1:25" s="1" customFormat="1" ht="18" x14ac:dyDescent="0.35">
      <c r="A31" s="31" t="s">
        <v>19</v>
      </c>
      <c r="B31" s="98">
        <f>B6+F6+J6+N6+R6+V6</f>
        <v>47.95195654019183</v>
      </c>
      <c r="C31" s="99"/>
      <c r="D31" s="99"/>
      <c r="E31" s="100"/>
      <c r="F31" s="101" t="s">
        <v>35</v>
      </c>
      <c r="G31" s="102"/>
      <c r="H31" s="102"/>
      <c r="I31" s="102"/>
      <c r="J31" s="102"/>
      <c r="K31" s="102"/>
      <c r="L31" s="102"/>
      <c r="M31" s="102"/>
      <c r="N31" s="102"/>
      <c r="O31" s="103"/>
      <c r="P31" s="110" t="s">
        <v>36</v>
      </c>
      <c r="Q31" s="111"/>
      <c r="R31" s="111"/>
      <c r="S31" s="111"/>
      <c r="T31" s="111"/>
      <c r="U31" s="111"/>
      <c r="V31" s="111"/>
      <c r="W31" s="111"/>
      <c r="X31" s="111"/>
      <c r="Y31" s="112"/>
    </row>
    <row r="32" spans="1:25" s="1" customFormat="1" ht="18" x14ac:dyDescent="0.35">
      <c r="A32" s="26" t="s">
        <v>20</v>
      </c>
      <c r="B32" s="90">
        <f>D6+H6+L6+P6+T6+X6</f>
        <v>49.669531880548831</v>
      </c>
      <c r="C32" s="91"/>
      <c r="D32" s="91"/>
      <c r="E32" s="92"/>
      <c r="F32" s="104"/>
      <c r="G32" s="105"/>
      <c r="H32" s="105"/>
      <c r="I32" s="105"/>
      <c r="J32" s="105"/>
      <c r="K32" s="105"/>
      <c r="L32" s="105"/>
      <c r="M32" s="105"/>
      <c r="N32" s="105"/>
      <c r="O32" s="106"/>
      <c r="P32" s="113"/>
      <c r="Q32" s="114"/>
      <c r="R32" s="114"/>
      <c r="S32" s="114"/>
      <c r="T32" s="114"/>
      <c r="U32" s="114"/>
      <c r="V32" s="114"/>
      <c r="W32" s="114"/>
      <c r="X32" s="114"/>
      <c r="Y32" s="115"/>
    </row>
    <row r="33" spans="1:25" s="1" customFormat="1" ht="18" x14ac:dyDescent="0.35">
      <c r="A33" s="26" t="s">
        <v>8</v>
      </c>
      <c r="B33" s="90">
        <f>B31-B32</f>
        <v>-1.7175753403570013</v>
      </c>
      <c r="C33" s="91"/>
      <c r="D33" s="91"/>
      <c r="E33" s="92"/>
      <c r="F33" s="104"/>
      <c r="G33" s="105"/>
      <c r="H33" s="105"/>
      <c r="I33" s="105"/>
      <c r="J33" s="105"/>
      <c r="K33" s="105"/>
      <c r="L33" s="105"/>
      <c r="M33" s="105"/>
      <c r="N33" s="105"/>
      <c r="O33" s="106"/>
      <c r="P33" s="113"/>
      <c r="Q33" s="114"/>
      <c r="R33" s="114"/>
      <c r="S33" s="114"/>
      <c r="T33" s="114"/>
      <c r="U33" s="114"/>
      <c r="V33" s="114"/>
      <c r="W33" s="114"/>
      <c r="X33" s="114"/>
      <c r="Y33" s="115"/>
    </row>
    <row r="34" spans="1:25" s="1" customFormat="1" ht="18.600000000000001" thickBot="1" x14ac:dyDescent="0.4">
      <c r="A34" s="27" t="s">
        <v>40</v>
      </c>
      <c r="B34" s="93" t="e">
        <f>alsB31&gt;B32 L2</f>
        <v>#NAME?</v>
      </c>
      <c r="C34" s="94"/>
      <c r="D34" s="94"/>
      <c r="E34" s="95"/>
      <c r="F34" s="107"/>
      <c r="G34" s="108"/>
      <c r="H34" s="108"/>
      <c r="I34" s="108"/>
      <c r="J34" s="108"/>
      <c r="K34" s="108"/>
      <c r="L34" s="108"/>
      <c r="M34" s="108"/>
      <c r="N34" s="108"/>
      <c r="O34" s="109"/>
      <c r="P34" s="116"/>
      <c r="Q34" s="117"/>
      <c r="R34" s="117"/>
      <c r="S34" s="117"/>
      <c r="T34" s="117"/>
      <c r="U34" s="117"/>
      <c r="V34" s="117"/>
      <c r="W34" s="117"/>
      <c r="X34" s="117"/>
      <c r="Y34" s="118"/>
    </row>
  </sheetData>
  <mergeCells count="111">
    <mergeCell ref="V27:W27"/>
    <mergeCell ref="X27:Y27"/>
    <mergeCell ref="V28:W28"/>
    <mergeCell ref="X28:Y28"/>
    <mergeCell ref="R27:S27"/>
    <mergeCell ref="T27:U27"/>
    <mergeCell ref="R28:S28"/>
    <mergeCell ref="T28:U28"/>
    <mergeCell ref="B31:E31"/>
    <mergeCell ref="F31:O34"/>
    <mergeCell ref="P31:Y34"/>
    <mergeCell ref="V29:W29"/>
    <mergeCell ref="X29:Y29"/>
    <mergeCell ref="V30:W30"/>
    <mergeCell ref="X30:Y30"/>
    <mergeCell ref="N30:O30"/>
    <mergeCell ref="P30:Q30"/>
    <mergeCell ref="N29:O29"/>
    <mergeCell ref="F30:G30"/>
    <mergeCell ref="H30:I30"/>
    <mergeCell ref="J29:K29"/>
    <mergeCell ref="L29:M29"/>
    <mergeCell ref="J30:K30"/>
    <mergeCell ref="L30:M30"/>
    <mergeCell ref="R30:S30"/>
    <mergeCell ref="T30:U30"/>
    <mergeCell ref="T29:U29"/>
    <mergeCell ref="R29:S29"/>
    <mergeCell ref="B32:E32"/>
    <mergeCell ref="B33:E33"/>
    <mergeCell ref="B34:E34"/>
    <mergeCell ref="P27:Q27"/>
    <mergeCell ref="N28:O28"/>
    <mergeCell ref="P28:Q28"/>
    <mergeCell ref="N27:O27"/>
    <mergeCell ref="J27:K27"/>
    <mergeCell ref="L27:M27"/>
    <mergeCell ref="J28:K28"/>
    <mergeCell ref="L28:M28"/>
    <mergeCell ref="P29:Q29"/>
    <mergeCell ref="B27:C27"/>
    <mergeCell ref="B28:C28"/>
    <mergeCell ref="B29:C29"/>
    <mergeCell ref="B30:C30"/>
    <mergeCell ref="D27:E27"/>
    <mergeCell ref="D28:E28"/>
    <mergeCell ref="D29:E29"/>
    <mergeCell ref="H5:I5"/>
    <mergeCell ref="J5:K5"/>
    <mergeCell ref="B6:C6"/>
    <mergeCell ref="D6:E6"/>
    <mergeCell ref="F6:G6"/>
    <mergeCell ref="H6:I6"/>
    <mergeCell ref="J6:K6"/>
    <mergeCell ref="D30:E30"/>
    <mergeCell ref="F27:G27"/>
    <mergeCell ref="H27:I27"/>
    <mergeCell ref="F28:G28"/>
    <mergeCell ref="H28:I28"/>
    <mergeCell ref="F29:G29"/>
    <mergeCell ref="H29:I29"/>
    <mergeCell ref="N1:Y1"/>
    <mergeCell ref="L2:Q2"/>
    <mergeCell ref="T2:Y2"/>
    <mergeCell ref="F2:G2"/>
    <mergeCell ref="P5:Q5"/>
    <mergeCell ref="R5:S5"/>
    <mergeCell ref="T5:U5"/>
    <mergeCell ref="V5:W5"/>
    <mergeCell ref="X5:Y5"/>
    <mergeCell ref="A1:M1"/>
    <mergeCell ref="A2:E2"/>
    <mergeCell ref="L3:M3"/>
    <mergeCell ref="V3:W3"/>
    <mergeCell ref="X3:Y3"/>
    <mergeCell ref="X4:Y4"/>
    <mergeCell ref="V4:W4"/>
    <mergeCell ref="R4:S4"/>
    <mergeCell ref="B5:C5"/>
    <mergeCell ref="D5:E5"/>
    <mergeCell ref="F5:G5"/>
    <mergeCell ref="R2:S2"/>
    <mergeCell ref="T4:U4"/>
    <mergeCell ref="P3:Q3"/>
    <mergeCell ref="P4:Q4"/>
    <mergeCell ref="P6:Q6"/>
    <mergeCell ref="R6:S6"/>
    <mergeCell ref="T6:U6"/>
    <mergeCell ref="V6:W6"/>
    <mergeCell ref="X6:Y6"/>
    <mergeCell ref="L5:M5"/>
    <mergeCell ref="N5:O5"/>
    <mergeCell ref="L6:M6"/>
    <mergeCell ref="N6:O6"/>
    <mergeCell ref="H2:I2"/>
    <mergeCell ref="J2:K2"/>
    <mergeCell ref="R3:S3"/>
    <mergeCell ref="T3:U3"/>
    <mergeCell ref="N3:O3"/>
    <mergeCell ref="B4:C4"/>
    <mergeCell ref="D4:E4"/>
    <mergeCell ref="F4:G4"/>
    <mergeCell ref="H4:I4"/>
    <mergeCell ref="J4:K4"/>
    <mergeCell ref="B3:C3"/>
    <mergeCell ref="D3:E3"/>
    <mergeCell ref="F3:G3"/>
    <mergeCell ref="H3:I3"/>
    <mergeCell ref="J3:K3"/>
    <mergeCell ref="L4:M4"/>
    <mergeCell ref="N4:O4"/>
  </mergeCells>
  <pageMargins left="0.7" right="0.7" top="0.75" bottom="0.75" header="0.3" footer="0.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4FF6-6528-4C44-AE5C-2D88797EE0B0}">
  <sheetPr codeName="Blad2">
    <outlinePr showOutlineSymbols="0"/>
    <pageSetUpPr fitToPage="1"/>
  </sheetPr>
  <dimension ref="A1:J16"/>
  <sheetViews>
    <sheetView showZeros="0" tabSelected="1" showOutlineSymbols="0" zoomScaleNormal="100" workbookViewId="0">
      <selection activeCell="D2" sqref="D2"/>
    </sheetView>
  </sheetViews>
  <sheetFormatPr defaultRowHeight="14.4" x14ac:dyDescent="0.3"/>
  <cols>
    <col min="3" max="3" width="50.77734375" customWidth="1"/>
    <col min="5" max="5" width="50.77734375" customWidth="1"/>
    <col min="7" max="7" width="50.77734375" customWidth="1"/>
  </cols>
  <sheetData>
    <row r="1" spans="1:10" x14ac:dyDescent="0.3">
      <c r="A1" s="2"/>
      <c r="B1" s="2"/>
      <c r="C1" s="2"/>
      <c r="D1" s="3"/>
      <c r="E1" s="3"/>
      <c r="F1" s="3"/>
      <c r="G1" s="3"/>
      <c r="H1" s="3"/>
      <c r="I1" s="3"/>
      <c r="J1" s="3"/>
    </row>
    <row r="2" spans="1:10" ht="46.2" x14ac:dyDescent="0.85">
      <c r="A2" s="2"/>
      <c r="B2" s="2"/>
      <c r="C2" s="4" t="str">
        <f>Wedstrijdblad!L2</f>
        <v>Kerkuilen</v>
      </c>
      <c r="D2" s="3"/>
      <c r="E2" s="3"/>
      <c r="F2" s="3"/>
      <c r="G2" s="4" t="str">
        <f>Wedstrijdblad!T2</f>
        <v>Rooie bal 2</v>
      </c>
      <c r="H2" s="3"/>
      <c r="I2" s="3"/>
      <c r="J2" s="3"/>
    </row>
    <row r="3" spans="1:10" ht="61.2" x14ac:dyDescent="1.1000000000000001">
      <c r="A3" s="2"/>
      <c r="B3" s="2"/>
      <c r="C3" s="5" t="str">
        <f>Wedstrijdblad!B4</f>
        <v>Wies Peeters</v>
      </c>
      <c r="D3" s="3"/>
      <c r="E3" s="3"/>
      <c r="F3" s="3"/>
      <c r="G3" s="17" t="str">
        <f>Wedstrijdblad!D4</f>
        <v>John Donckers</v>
      </c>
      <c r="H3" s="3"/>
      <c r="I3" s="3"/>
      <c r="J3" s="3"/>
    </row>
    <row r="4" spans="1:10" ht="92.4" thickBot="1" x14ac:dyDescent="0.35">
      <c r="A4" s="2"/>
      <c r="B4" s="3"/>
      <c r="C4" s="7">
        <f>Wedstrijdblad!B5</f>
        <v>28</v>
      </c>
      <c r="D4" s="3"/>
      <c r="E4" s="8" t="s">
        <v>9</v>
      </c>
      <c r="F4" s="3"/>
      <c r="G4" s="7">
        <f>Wedstrijdblad!D5</f>
        <v>25</v>
      </c>
      <c r="H4" s="3"/>
      <c r="I4" s="3"/>
      <c r="J4" s="3"/>
    </row>
    <row r="5" spans="1:10" ht="115.8" thickTop="1" thickBot="1" x14ac:dyDescent="0.35">
      <c r="A5" s="2"/>
      <c r="B5" s="3"/>
      <c r="C5" s="9">
        <f>Wedstrijdblad!C26</f>
        <v>10</v>
      </c>
      <c r="D5" s="3"/>
      <c r="E5" s="9">
        <f>Wedstrijdblad!B27</f>
        <v>20</v>
      </c>
      <c r="F5" s="3"/>
      <c r="G5" s="9">
        <f>Wedstrijdblad!E26</f>
        <v>23</v>
      </c>
      <c r="H5" s="3"/>
      <c r="I5" s="3"/>
      <c r="J5" s="3"/>
    </row>
    <row r="6" spans="1:10" ht="32.4" thickTop="1" thickBot="1" x14ac:dyDescent="0.35">
      <c r="A6" s="2"/>
      <c r="B6" s="3"/>
      <c r="C6" s="3"/>
      <c r="D6" s="3"/>
      <c r="E6" s="3"/>
      <c r="F6" s="3"/>
      <c r="G6" s="10"/>
      <c r="H6" s="3"/>
      <c r="I6" s="3"/>
      <c r="J6" s="3"/>
    </row>
    <row r="7" spans="1:10" ht="62.4" thickTop="1" thickBot="1" x14ac:dyDescent="0.35">
      <c r="A7" s="2"/>
      <c r="B7" s="3"/>
      <c r="C7" s="11">
        <f>Wedstrijdblad!B28</f>
        <v>5</v>
      </c>
      <c r="D7" s="3"/>
      <c r="E7" s="10" t="s">
        <v>10</v>
      </c>
      <c r="F7" s="3"/>
      <c r="G7" s="11">
        <f>Wedstrijdblad!D28</f>
        <v>8</v>
      </c>
      <c r="H7" s="3"/>
      <c r="I7" s="3"/>
      <c r="J7" s="3"/>
    </row>
    <row r="8" spans="1:10" ht="32.4" thickTop="1" thickBot="1" x14ac:dyDescent="0.35">
      <c r="A8" s="2"/>
      <c r="B8" s="3"/>
      <c r="C8" s="3"/>
      <c r="D8" s="3"/>
      <c r="E8" s="3"/>
      <c r="F8" s="3"/>
      <c r="G8" s="10"/>
      <c r="H8" s="3"/>
      <c r="I8" s="3"/>
      <c r="J8" s="3"/>
    </row>
    <row r="9" spans="1:10" ht="62.4" thickTop="1" thickBot="1" x14ac:dyDescent="0.35">
      <c r="A9" s="2"/>
      <c r="B9" s="3"/>
      <c r="C9" s="11">
        <f>Wedstrijdblad!B29</f>
        <v>15</v>
      </c>
      <c r="D9" s="3"/>
      <c r="E9" s="10" t="s">
        <v>11</v>
      </c>
      <c r="F9" s="3"/>
      <c r="G9" s="11">
        <f>Wedstrijdblad!D29</f>
        <v>12</v>
      </c>
      <c r="H9" s="3"/>
      <c r="I9" s="3"/>
      <c r="J9" s="3"/>
    </row>
    <row r="10" spans="1:10" ht="45" customHeight="1" thickTop="1" thickBot="1" x14ac:dyDescent="0.35">
      <c r="A10" s="2"/>
      <c r="B10" s="3"/>
      <c r="C10" s="6"/>
      <c r="D10" s="3"/>
      <c r="E10" s="10"/>
      <c r="F10" s="3"/>
      <c r="G10" s="6"/>
      <c r="H10" s="3"/>
      <c r="I10" s="3"/>
      <c r="J10" s="3"/>
    </row>
    <row r="11" spans="1:10" ht="61.8" thickBot="1" x14ac:dyDescent="0.35">
      <c r="A11" s="2"/>
      <c r="B11" s="3"/>
      <c r="C11" s="12">
        <f>Wedstrijdblad!B30</f>
        <v>0.5</v>
      </c>
      <c r="D11" s="3"/>
      <c r="E11" s="10" t="s">
        <v>12</v>
      </c>
      <c r="F11" s="3"/>
      <c r="G11" s="12">
        <f>Wedstrijdblad!D30</f>
        <v>1.1499999999999999</v>
      </c>
      <c r="H11" s="3"/>
      <c r="I11" s="3"/>
      <c r="J11" s="3"/>
    </row>
    <row r="12" spans="1:10" ht="31.8" thickBot="1" x14ac:dyDescent="0.35">
      <c r="A12" s="2"/>
      <c r="B12" s="3"/>
      <c r="C12" s="3"/>
      <c r="D12" s="3"/>
      <c r="E12" s="3"/>
      <c r="F12" s="3"/>
      <c r="G12" s="10"/>
      <c r="H12" s="3"/>
      <c r="I12" s="3"/>
      <c r="J12" s="3"/>
    </row>
    <row r="13" spans="1:10" ht="62.4" thickTop="1" thickBot="1" x14ac:dyDescent="0.35">
      <c r="A13" s="2"/>
      <c r="B13" s="3"/>
      <c r="C13" s="13">
        <f>Wedstrijdblad!B6</f>
        <v>3.5714285714285716</v>
      </c>
      <c r="D13" s="3"/>
      <c r="E13" s="10" t="s">
        <v>13</v>
      </c>
      <c r="F13" s="3"/>
      <c r="G13" s="13">
        <f>Wedstrijdblad!D6</f>
        <v>9.2000000000000011</v>
      </c>
      <c r="H13" s="3"/>
      <c r="I13" s="3"/>
      <c r="J13" s="3"/>
    </row>
    <row r="14" spans="1:10" ht="37.200000000000003" customHeight="1" thickTop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ht="46.2" x14ac:dyDescent="0.3">
      <c r="A15" s="2"/>
      <c r="B15" s="14"/>
      <c r="C15" s="42">
        <f>Wedstrijdblad!B31</f>
        <v>47.95195654019183</v>
      </c>
      <c r="D15" s="3"/>
      <c r="E15" s="10" t="s">
        <v>34</v>
      </c>
      <c r="F15" s="3"/>
      <c r="G15" s="42">
        <f>Wedstrijdblad!B32</f>
        <v>49.669531880548831</v>
      </c>
      <c r="H15" s="15"/>
      <c r="I15" s="3"/>
      <c r="J15" s="3"/>
    </row>
    <row r="16" spans="1:10" x14ac:dyDescent="0.3">
      <c r="A16" s="16"/>
      <c r="B16" s="16"/>
      <c r="C16" s="16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0AB29-8EC3-4192-ACE2-E13ECFD9481A}">
  <sheetPr codeName="Blad3">
    <pageSetUpPr fitToPage="1"/>
  </sheetPr>
  <dimension ref="A1:J16"/>
  <sheetViews>
    <sheetView workbookViewId="0"/>
  </sheetViews>
  <sheetFormatPr defaultRowHeight="14.4" x14ac:dyDescent="0.3"/>
  <cols>
    <col min="3" max="3" width="50.77734375" customWidth="1"/>
    <col min="5" max="5" width="50.77734375" customWidth="1"/>
    <col min="7" max="7" width="50.77734375" customWidth="1"/>
  </cols>
  <sheetData>
    <row r="1" spans="1:10" x14ac:dyDescent="0.3">
      <c r="A1" s="2"/>
      <c r="B1" s="2"/>
      <c r="C1" s="2"/>
      <c r="D1" s="3"/>
      <c r="E1" s="3"/>
      <c r="F1" s="3"/>
      <c r="G1" s="3"/>
      <c r="H1" s="3"/>
      <c r="I1" s="3"/>
      <c r="J1" s="3"/>
    </row>
    <row r="2" spans="1:10" ht="46.2" x14ac:dyDescent="0.85">
      <c r="A2" s="2"/>
      <c r="B2" s="2"/>
      <c r="C2" s="4" t="str">
        <f>Wedstrijdblad!L2</f>
        <v>Kerkuilen</v>
      </c>
      <c r="D2" s="3"/>
      <c r="E2" s="3"/>
      <c r="F2" s="3"/>
      <c r="G2" s="4" t="str">
        <f>Wedstrijdblad!T2</f>
        <v>Rooie bal 2</v>
      </c>
      <c r="H2" s="3"/>
      <c r="I2" s="3"/>
      <c r="J2" s="3"/>
    </row>
    <row r="3" spans="1:10" ht="61.2" x14ac:dyDescent="1.1000000000000001">
      <c r="A3" s="2"/>
      <c r="B3" s="2"/>
      <c r="C3" s="5" t="str">
        <f>Wedstrijdblad!F4</f>
        <v>Hugo Hectors</v>
      </c>
      <c r="D3" s="3"/>
      <c r="E3" s="3"/>
      <c r="F3" s="3"/>
      <c r="G3" s="5" t="str">
        <f>Wedstrijdblad!H4</f>
        <v>Cis Suykerbuyk</v>
      </c>
      <c r="H3" s="3"/>
      <c r="I3" s="3"/>
      <c r="J3" s="3"/>
    </row>
    <row r="4" spans="1:10" ht="92.4" thickBot="1" x14ac:dyDescent="0.35">
      <c r="A4" s="2"/>
      <c r="B4" s="3"/>
      <c r="C4" s="7">
        <f>Wedstrijdblad!F5</f>
        <v>18</v>
      </c>
      <c r="D4" s="3"/>
      <c r="E4" s="8" t="s">
        <v>9</v>
      </c>
      <c r="F4" s="3"/>
      <c r="G4" s="7">
        <f>Wedstrijdblad!H5</f>
        <v>15</v>
      </c>
      <c r="H4" s="3"/>
      <c r="I4" s="3"/>
      <c r="J4" s="3"/>
    </row>
    <row r="5" spans="1:10" ht="115.8" thickTop="1" thickBot="1" x14ac:dyDescent="0.35">
      <c r="A5" s="2"/>
      <c r="B5" s="3"/>
      <c r="C5" s="9">
        <f>Wedstrijdblad!G26</f>
        <v>17</v>
      </c>
      <c r="D5" s="3"/>
      <c r="E5" s="9">
        <f>Wedstrijdblad!F27</f>
        <v>20</v>
      </c>
      <c r="F5" s="3"/>
      <c r="G5" s="9">
        <f>Wedstrijdblad!I26</f>
        <v>12</v>
      </c>
      <c r="H5" s="3"/>
      <c r="I5" s="3"/>
      <c r="J5" s="3"/>
    </row>
    <row r="6" spans="1:10" ht="32.4" thickTop="1" thickBot="1" x14ac:dyDescent="0.35">
      <c r="A6" s="2"/>
      <c r="B6" s="3"/>
      <c r="C6" s="3"/>
      <c r="D6" s="3"/>
      <c r="E6" s="3"/>
      <c r="F6" s="3"/>
      <c r="G6" s="10"/>
      <c r="H6" s="3"/>
      <c r="I6" s="3"/>
      <c r="J6" s="3"/>
    </row>
    <row r="7" spans="1:10" ht="62.4" thickTop="1" thickBot="1" x14ac:dyDescent="0.35">
      <c r="A7" s="2"/>
      <c r="B7" s="3"/>
      <c r="C7" s="11">
        <f>Wedstrijdblad!F28</f>
        <v>4</v>
      </c>
      <c r="D7" s="3"/>
      <c r="E7" s="10" t="s">
        <v>10</v>
      </c>
      <c r="F7" s="3"/>
      <c r="G7" s="11">
        <f>Wedstrijdblad!H28</f>
        <v>3</v>
      </c>
      <c r="H7" s="3"/>
      <c r="I7" s="3"/>
      <c r="J7" s="3"/>
    </row>
    <row r="8" spans="1:10" ht="32.4" thickTop="1" thickBot="1" x14ac:dyDescent="0.35">
      <c r="A8" s="2"/>
      <c r="B8" s="3"/>
      <c r="C8" s="3"/>
      <c r="D8" s="3"/>
      <c r="E8" s="3"/>
      <c r="F8" s="3"/>
      <c r="G8" s="10"/>
      <c r="H8" s="3"/>
      <c r="I8" s="3"/>
      <c r="J8" s="3"/>
    </row>
    <row r="9" spans="1:10" ht="62.4" thickTop="1" thickBot="1" x14ac:dyDescent="0.35">
      <c r="A9" s="2"/>
      <c r="B9" s="3"/>
      <c r="C9" s="11">
        <f>Wedstrijdblad!F29</f>
        <v>10</v>
      </c>
      <c r="D9" s="3"/>
      <c r="E9" s="10" t="s">
        <v>11</v>
      </c>
      <c r="F9" s="3"/>
      <c r="G9" s="11">
        <f>Wedstrijdblad!H29</f>
        <v>13</v>
      </c>
      <c r="H9" s="3"/>
      <c r="I9" s="3"/>
      <c r="J9" s="3"/>
    </row>
    <row r="10" spans="1:10" ht="45" customHeight="1" thickTop="1" thickBot="1" x14ac:dyDescent="0.35">
      <c r="A10" s="2"/>
      <c r="B10" s="3"/>
      <c r="C10" s="6"/>
      <c r="D10" s="3"/>
      <c r="E10" s="10"/>
      <c r="F10" s="3"/>
      <c r="G10" s="6"/>
      <c r="H10" s="3"/>
      <c r="I10" s="3"/>
      <c r="J10" s="3"/>
    </row>
    <row r="11" spans="1:10" ht="61.8" thickBot="1" x14ac:dyDescent="0.35">
      <c r="A11" s="2"/>
      <c r="B11" s="3"/>
      <c r="C11" s="12">
        <f>Wedstrijdblad!F30</f>
        <v>0.85</v>
      </c>
      <c r="D11" s="3"/>
      <c r="E11" s="10" t="s">
        <v>12</v>
      </c>
      <c r="F11" s="3"/>
      <c r="G11" s="12">
        <f>Wedstrijdblad!H30</f>
        <v>0.6</v>
      </c>
      <c r="H11" s="3"/>
      <c r="I11" s="3"/>
      <c r="J11" s="3"/>
    </row>
    <row r="12" spans="1:10" ht="31.8" thickBot="1" x14ac:dyDescent="0.35">
      <c r="A12" s="2"/>
      <c r="B12" s="3"/>
      <c r="C12" s="3"/>
      <c r="D12" s="3"/>
      <c r="E12" s="3"/>
      <c r="F12" s="3"/>
      <c r="G12" s="10"/>
      <c r="H12" s="3"/>
      <c r="I12" s="3"/>
      <c r="J12" s="3"/>
    </row>
    <row r="13" spans="1:10" ht="62.4" thickTop="1" thickBot="1" x14ac:dyDescent="0.35">
      <c r="A13" s="2"/>
      <c r="B13" s="3"/>
      <c r="C13" s="13">
        <f>Wedstrijdblad!F6</f>
        <v>9.4444444444444446</v>
      </c>
      <c r="D13" s="3"/>
      <c r="E13" s="10" t="s">
        <v>13</v>
      </c>
      <c r="F13" s="3"/>
      <c r="G13" s="13">
        <f>Wedstrijdblad!H6</f>
        <v>8</v>
      </c>
      <c r="H13" s="3"/>
      <c r="I13" s="3"/>
      <c r="J13" s="3"/>
    </row>
    <row r="14" spans="1:10" ht="37.200000000000003" customHeight="1" thickTop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ht="46.2" x14ac:dyDescent="0.3">
      <c r="A15" s="2"/>
      <c r="B15" s="14"/>
      <c r="C15" s="42">
        <f>Wedstrijdblad!B31</f>
        <v>47.95195654019183</v>
      </c>
      <c r="D15" s="3"/>
      <c r="E15" s="10" t="s">
        <v>34</v>
      </c>
      <c r="F15" s="3"/>
      <c r="G15" s="42">
        <f>Wedstrijdblad!B32</f>
        <v>49.669531880548831</v>
      </c>
      <c r="H15" s="15"/>
      <c r="I15" s="3"/>
      <c r="J15" s="3"/>
    </row>
    <row r="16" spans="1:10" x14ac:dyDescent="0.3">
      <c r="A16" s="16"/>
      <c r="B16" s="16"/>
      <c r="C16" s="16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7730-5801-45C2-8B44-E4F96119EDEA}">
  <sheetPr codeName="Blad4">
    <pageSetUpPr fitToPage="1"/>
  </sheetPr>
  <dimension ref="A1:J16"/>
  <sheetViews>
    <sheetView workbookViewId="0"/>
  </sheetViews>
  <sheetFormatPr defaultRowHeight="14.4" x14ac:dyDescent="0.3"/>
  <cols>
    <col min="3" max="3" width="50.77734375" customWidth="1"/>
    <col min="5" max="5" width="50.77734375" customWidth="1"/>
    <col min="7" max="7" width="50.77734375" customWidth="1"/>
  </cols>
  <sheetData>
    <row r="1" spans="1:10" x14ac:dyDescent="0.3">
      <c r="A1" s="2"/>
      <c r="B1" s="2"/>
      <c r="C1" s="2"/>
      <c r="D1" s="3"/>
      <c r="E1" s="3"/>
      <c r="F1" s="3"/>
      <c r="G1" s="3"/>
      <c r="H1" s="3"/>
      <c r="I1" s="3"/>
      <c r="J1" s="3"/>
    </row>
    <row r="2" spans="1:10" ht="46.2" x14ac:dyDescent="0.85">
      <c r="A2" s="2"/>
      <c r="B2" s="2"/>
      <c r="C2" s="4" t="str">
        <f>Wedstrijdblad!L2</f>
        <v>Kerkuilen</v>
      </c>
      <c r="D2" s="3"/>
      <c r="E2" s="3"/>
      <c r="F2" s="3"/>
      <c r="G2" s="4" t="str">
        <f>Wedstrijdblad!T2</f>
        <v>Rooie bal 2</v>
      </c>
      <c r="H2" s="3"/>
      <c r="I2" s="3"/>
      <c r="J2" s="3"/>
    </row>
    <row r="3" spans="1:10" ht="61.2" x14ac:dyDescent="1.1000000000000001">
      <c r="A3" s="2"/>
      <c r="B3" s="2"/>
      <c r="C3" s="5" t="str">
        <f>Wedstrijdblad!J4</f>
        <v>Jef Schrooyen</v>
      </c>
      <c r="D3" s="3"/>
      <c r="E3" s="3"/>
      <c r="F3" s="3"/>
      <c r="G3" s="5" t="str">
        <f>Wedstrijdblad!L4</f>
        <v>Fred Dictus</v>
      </c>
      <c r="H3" s="3"/>
      <c r="I3" s="3"/>
      <c r="J3" s="3"/>
    </row>
    <row r="4" spans="1:10" ht="92.4" thickBot="1" x14ac:dyDescent="0.35">
      <c r="A4" s="2"/>
      <c r="B4" s="3"/>
      <c r="C4" s="7">
        <f>Wedstrijdblad!J5</f>
        <v>51</v>
      </c>
      <c r="D4" s="3"/>
      <c r="E4" s="8" t="s">
        <v>9</v>
      </c>
      <c r="F4" s="3"/>
      <c r="G4" s="7">
        <f>Wedstrijdblad!L5</f>
        <v>59</v>
      </c>
      <c r="H4" s="3"/>
      <c r="I4" s="3"/>
      <c r="J4" s="3"/>
    </row>
    <row r="5" spans="1:10" ht="115.8" thickTop="1" thickBot="1" x14ac:dyDescent="0.35">
      <c r="A5" s="2"/>
      <c r="B5" s="3"/>
      <c r="C5" s="9">
        <f>Wedstrijdblad!K26</f>
        <v>28</v>
      </c>
      <c r="D5" s="3"/>
      <c r="E5" s="9">
        <f>Wedstrijdblad!J27</f>
        <v>20</v>
      </c>
      <c r="F5" s="3"/>
      <c r="G5" s="9">
        <f>Wedstrijdblad!M26</f>
        <v>44</v>
      </c>
      <c r="H5" s="3"/>
      <c r="I5" s="3"/>
      <c r="J5" s="3"/>
    </row>
    <row r="6" spans="1:10" ht="32.4" thickTop="1" thickBot="1" x14ac:dyDescent="0.35">
      <c r="A6" s="2"/>
      <c r="B6" s="3"/>
      <c r="C6" s="3"/>
      <c r="D6" s="3"/>
      <c r="E6" s="3"/>
      <c r="F6" s="3"/>
      <c r="G6" s="10"/>
      <c r="H6" s="3"/>
      <c r="I6" s="3"/>
      <c r="J6" s="3"/>
    </row>
    <row r="7" spans="1:10" ht="62.4" thickTop="1" thickBot="1" x14ac:dyDescent="0.35">
      <c r="A7" s="2"/>
      <c r="B7" s="3"/>
      <c r="C7" s="11">
        <f>Wedstrijdblad!J28</f>
        <v>6</v>
      </c>
      <c r="D7" s="3"/>
      <c r="E7" s="10" t="s">
        <v>10</v>
      </c>
      <c r="F7" s="3"/>
      <c r="G7" s="11">
        <f>Wedstrijdblad!L28</f>
        <v>6</v>
      </c>
      <c r="H7" s="3"/>
      <c r="I7" s="3"/>
      <c r="J7" s="3"/>
    </row>
    <row r="8" spans="1:10" ht="32.4" thickTop="1" thickBot="1" x14ac:dyDescent="0.35">
      <c r="A8" s="2"/>
      <c r="B8" s="3"/>
      <c r="C8" s="3"/>
      <c r="D8" s="3"/>
      <c r="E8" s="3"/>
      <c r="F8" s="3"/>
      <c r="G8" s="10"/>
      <c r="H8" s="3"/>
      <c r="I8" s="3"/>
      <c r="J8" s="3"/>
    </row>
    <row r="9" spans="1:10" ht="62.4" thickTop="1" thickBot="1" x14ac:dyDescent="0.35">
      <c r="A9" s="2"/>
      <c r="B9" s="3"/>
      <c r="C9" s="11">
        <f>Wedstrijdblad!J29</f>
        <v>11</v>
      </c>
      <c r="D9" s="3"/>
      <c r="E9" s="10" t="s">
        <v>11</v>
      </c>
      <c r="F9" s="3"/>
      <c r="G9" s="11">
        <f>Wedstrijdblad!L29</f>
        <v>7</v>
      </c>
      <c r="H9" s="3"/>
      <c r="I9" s="3"/>
      <c r="J9" s="3"/>
    </row>
    <row r="10" spans="1:10" ht="45" customHeight="1" thickTop="1" thickBot="1" x14ac:dyDescent="0.35">
      <c r="A10" s="2"/>
      <c r="B10" s="3"/>
      <c r="C10" s="6"/>
      <c r="D10" s="3"/>
      <c r="E10" s="10"/>
      <c r="F10" s="3"/>
      <c r="G10" s="6"/>
      <c r="H10" s="3"/>
      <c r="I10" s="3"/>
      <c r="J10" s="3"/>
    </row>
    <row r="11" spans="1:10" ht="61.8" thickBot="1" x14ac:dyDescent="0.35">
      <c r="A11" s="2"/>
      <c r="B11" s="3"/>
      <c r="C11" s="12">
        <f>Wedstrijdblad!J30</f>
        <v>1.4</v>
      </c>
      <c r="D11" s="3"/>
      <c r="E11" s="10" t="s">
        <v>12</v>
      </c>
      <c r="F11" s="3"/>
      <c r="G11" s="12">
        <f>Wedstrijdblad!L30</f>
        <v>2.2000000000000002</v>
      </c>
      <c r="H11" s="3"/>
      <c r="I11" s="3"/>
      <c r="J11" s="3"/>
    </row>
    <row r="12" spans="1:10" ht="31.8" thickBot="1" x14ac:dyDescent="0.35">
      <c r="A12" s="2"/>
      <c r="B12" s="3"/>
      <c r="C12" s="3"/>
      <c r="D12" s="3"/>
      <c r="E12" s="3"/>
      <c r="F12" s="3"/>
      <c r="G12" s="10"/>
      <c r="H12" s="3"/>
      <c r="I12" s="3"/>
      <c r="J12" s="3"/>
    </row>
    <row r="13" spans="1:10" ht="62.4" thickTop="1" thickBot="1" x14ac:dyDescent="0.35">
      <c r="A13" s="2"/>
      <c r="B13" s="3"/>
      <c r="C13" s="13">
        <f>Wedstrijdblad!J6</f>
        <v>5.4901960784313726</v>
      </c>
      <c r="D13" s="3"/>
      <c r="E13" s="10" t="s">
        <v>13</v>
      </c>
      <c r="F13" s="3"/>
      <c r="G13" s="13">
        <f>Wedstrijdblad!L6</f>
        <v>7.4576271186440675</v>
      </c>
      <c r="H13" s="3"/>
      <c r="I13" s="3"/>
      <c r="J13" s="3"/>
    </row>
    <row r="14" spans="1:10" ht="37.200000000000003" customHeight="1" thickTop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ht="46.2" x14ac:dyDescent="0.3">
      <c r="A15" s="2"/>
      <c r="B15" s="14"/>
      <c r="C15" s="42">
        <f>Wedstrijdblad!B31</f>
        <v>47.95195654019183</v>
      </c>
      <c r="D15" s="3"/>
      <c r="E15" s="10" t="s">
        <v>34</v>
      </c>
      <c r="F15" s="3"/>
      <c r="G15" s="42">
        <f>Wedstrijdblad!B32</f>
        <v>49.669531880548831</v>
      </c>
      <c r="H15" s="15"/>
      <c r="I15" s="3"/>
      <c r="J15" s="3"/>
    </row>
    <row r="16" spans="1:10" x14ac:dyDescent="0.3">
      <c r="A16" s="16"/>
      <c r="B16" s="16"/>
      <c r="C16" s="16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pageSetup paperSize="9" scale="5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03216-3884-43AD-8A63-269C7C4FB56D}">
  <sheetPr codeName="Blad5">
    <pageSetUpPr fitToPage="1"/>
  </sheetPr>
  <dimension ref="A1:J16"/>
  <sheetViews>
    <sheetView workbookViewId="0"/>
  </sheetViews>
  <sheetFormatPr defaultRowHeight="14.4" x14ac:dyDescent="0.3"/>
  <cols>
    <col min="3" max="3" width="50.77734375" customWidth="1"/>
    <col min="5" max="5" width="50.77734375" customWidth="1"/>
    <col min="7" max="7" width="50.77734375" customWidth="1"/>
  </cols>
  <sheetData>
    <row r="1" spans="1:10" x14ac:dyDescent="0.3">
      <c r="A1" s="2"/>
      <c r="B1" s="2"/>
      <c r="C1" s="2"/>
      <c r="D1" s="3"/>
      <c r="E1" s="3"/>
      <c r="F1" s="3"/>
      <c r="G1" s="3"/>
      <c r="H1" s="3"/>
      <c r="I1" s="3"/>
      <c r="J1" s="3"/>
    </row>
    <row r="2" spans="1:10" ht="46.2" x14ac:dyDescent="0.85">
      <c r="A2" s="2"/>
      <c r="B2" s="2"/>
      <c r="C2" s="4" t="str">
        <f>Wedstrijdblad!L2</f>
        <v>Kerkuilen</v>
      </c>
      <c r="D2" s="3"/>
      <c r="E2" s="3"/>
      <c r="F2" s="3"/>
      <c r="G2" s="4" t="str">
        <f>Wedstrijdblad!T2</f>
        <v>Rooie bal 2</v>
      </c>
      <c r="H2" s="3"/>
      <c r="I2" s="3"/>
      <c r="J2" s="3"/>
    </row>
    <row r="3" spans="1:10" ht="61.2" x14ac:dyDescent="1.1000000000000001">
      <c r="A3" s="2"/>
      <c r="B3" s="2"/>
      <c r="C3" s="5" t="str">
        <f>Wedstrijdblad!N4</f>
        <v>Cyriel van Ginneken</v>
      </c>
      <c r="D3" s="3"/>
      <c r="E3" s="3"/>
      <c r="F3" s="3"/>
      <c r="G3" s="5" t="str">
        <f>Wedstrijdblad!P4</f>
        <v>Leo Costermans</v>
      </c>
      <c r="H3" s="3"/>
      <c r="I3" s="3"/>
      <c r="J3" s="3"/>
    </row>
    <row r="4" spans="1:10" ht="92.4" thickBot="1" x14ac:dyDescent="0.35">
      <c r="A4" s="2"/>
      <c r="B4" s="3"/>
      <c r="C4" s="7">
        <f>Wedstrijdblad!N5</f>
        <v>20</v>
      </c>
      <c r="D4" s="3"/>
      <c r="E4" s="8" t="s">
        <v>9</v>
      </c>
      <c r="F4" s="3"/>
      <c r="G4" s="7">
        <f>Wedstrijdblad!P5</f>
        <v>15</v>
      </c>
      <c r="H4" s="3"/>
      <c r="I4" s="3"/>
      <c r="J4" s="3"/>
    </row>
    <row r="5" spans="1:10" ht="115.8" thickTop="1" thickBot="1" x14ac:dyDescent="0.35">
      <c r="A5" s="2"/>
      <c r="B5" s="3"/>
      <c r="C5" s="9">
        <f>Wedstrijdblad!O26</f>
        <v>14</v>
      </c>
      <c r="D5" s="3"/>
      <c r="E5" s="9">
        <f>Wedstrijdblad!N27</f>
        <v>20</v>
      </c>
      <c r="F5" s="3"/>
      <c r="G5" s="9">
        <f>Wedstrijdblad!Q26</f>
        <v>17</v>
      </c>
      <c r="H5" s="3"/>
      <c r="I5" s="3"/>
      <c r="J5" s="3"/>
    </row>
    <row r="6" spans="1:10" ht="32.4" thickTop="1" thickBot="1" x14ac:dyDescent="0.35">
      <c r="A6" s="2"/>
      <c r="B6" s="3"/>
      <c r="C6" s="3"/>
      <c r="D6" s="3"/>
      <c r="E6" s="3"/>
      <c r="F6" s="3"/>
      <c r="G6" s="10"/>
      <c r="H6" s="3"/>
      <c r="I6" s="3"/>
      <c r="J6" s="3"/>
    </row>
    <row r="7" spans="1:10" ht="62.4" thickTop="1" thickBot="1" x14ac:dyDescent="0.35">
      <c r="A7" s="2"/>
      <c r="B7" s="3"/>
      <c r="C7" s="11">
        <f>Wedstrijdblad!N28</f>
        <v>3</v>
      </c>
      <c r="D7" s="3"/>
      <c r="E7" s="10" t="s">
        <v>10</v>
      </c>
      <c r="F7" s="3"/>
      <c r="G7" s="11">
        <f>Wedstrijdblad!P28</f>
        <v>4</v>
      </c>
      <c r="H7" s="3"/>
      <c r="I7" s="3"/>
      <c r="J7" s="3"/>
    </row>
    <row r="8" spans="1:10" ht="32.4" thickTop="1" thickBot="1" x14ac:dyDescent="0.35">
      <c r="A8" s="2"/>
      <c r="B8" s="3"/>
      <c r="C8" s="3"/>
      <c r="D8" s="3"/>
      <c r="E8" s="3"/>
      <c r="F8" s="3"/>
      <c r="G8" s="10"/>
      <c r="H8" s="3"/>
      <c r="I8" s="3"/>
      <c r="J8" s="3"/>
    </row>
    <row r="9" spans="1:10" ht="62.4" thickTop="1" thickBot="1" x14ac:dyDescent="0.35">
      <c r="A9" s="2"/>
      <c r="B9" s="3"/>
      <c r="C9" s="11">
        <f>Wedstrijdblad!N29</f>
        <v>11</v>
      </c>
      <c r="D9" s="3"/>
      <c r="E9" s="10" t="s">
        <v>11</v>
      </c>
      <c r="F9" s="3"/>
      <c r="G9" s="11">
        <f>Wedstrijdblad!P29</f>
        <v>10</v>
      </c>
      <c r="H9" s="3"/>
      <c r="I9" s="3"/>
      <c r="J9" s="3"/>
    </row>
    <row r="10" spans="1:10" ht="45" customHeight="1" thickTop="1" thickBot="1" x14ac:dyDescent="0.35">
      <c r="A10" s="2"/>
      <c r="B10" s="3"/>
      <c r="C10" s="6"/>
      <c r="D10" s="3"/>
      <c r="E10" s="10"/>
      <c r="F10" s="3"/>
      <c r="G10" s="6"/>
      <c r="H10" s="3"/>
      <c r="I10" s="3"/>
      <c r="J10" s="3"/>
    </row>
    <row r="11" spans="1:10" ht="61.8" thickBot="1" x14ac:dyDescent="0.35">
      <c r="A11" s="2"/>
      <c r="B11" s="3"/>
      <c r="C11" s="12">
        <f>Wedstrijdblad!N30</f>
        <v>0.7</v>
      </c>
      <c r="D11" s="3"/>
      <c r="E11" s="10" t="s">
        <v>12</v>
      </c>
      <c r="F11" s="3"/>
      <c r="G11" s="12">
        <f>Wedstrijdblad!P30</f>
        <v>0.85</v>
      </c>
      <c r="H11" s="3"/>
      <c r="I11" s="3"/>
      <c r="J11" s="3"/>
    </row>
    <row r="12" spans="1:10" ht="31.8" thickBot="1" x14ac:dyDescent="0.35">
      <c r="A12" s="2"/>
      <c r="B12" s="3"/>
      <c r="C12" s="3"/>
      <c r="D12" s="3"/>
      <c r="E12" s="3"/>
      <c r="F12" s="3"/>
      <c r="G12" s="10"/>
      <c r="H12" s="3"/>
      <c r="I12" s="3"/>
      <c r="J12" s="3"/>
    </row>
    <row r="13" spans="1:10" ht="62.4" thickTop="1" thickBot="1" x14ac:dyDescent="0.35">
      <c r="A13" s="2"/>
      <c r="B13" s="3"/>
      <c r="C13" s="13">
        <f>Wedstrijdblad!N6</f>
        <v>7</v>
      </c>
      <c r="D13" s="3"/>
      <c r="E13" s="10" t="s">
        <v>13</v>
      </c>
      <c r="F13" s="3"/>
      <c r="G13" s="13">
        <f>Wedstrijdblad!P6</f>
        <v>11.333333333333332</v>
      </c>
      <c r="H13" s="3"/>
      <c r="I13" s="3"/>
      <c r="J13" s="3"/>
    </row>
    <row r="14" spans="1:10" ht="37.200000000000003" customHeight="1" thickTop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ht="46.2" x14ac:dyDescent="0.3">
      <c r="A15" s="2"/>
      <c r="B15" s="14"/>
      <c r="C15" s="42">
        <f>Wedstrijdblad!B31</f>
        <v>47.95195654019183</v>
      </c>
      <c r="D15" s="3"/>
      <c r="E15" s="10" t="s">
        <v>34</v>
      </c>
      <c r="F15" s="3"/>
      <c r="G15" s="42">
        <f>Wedstrijdblad!B32</f>
        <v>49.669531880548831</v>
      </c>
      <c r="H15" s="15"/>
      <c r="I15" s="3"/>
      <c r="J15" s="3"/>
    </row>
    <row r="16" spans="1:10" x14ac:dyDescent="0.3">
      <c r="A16" s="16"/>
      <c r="B16" s="16"/>
      <c r="C16" s="16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pageSetup paperSize="9" scale="5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C772-32AE-486B-96E1-8DE103CB8CC0}">
  <sheetPr codeName="Blad6">
    <pageSetUpPr fitToPage="1"/>
  </sheetPr>
  <dimension ref="A1:J16"/>
  <sheetViews>
    <sheetView workbookViewId="0"/>
  </sheetViews>
  <sheetFormatPr defaultRowHeight="14.4" x14ac:dyDescent="0.3"/>
  <cols>
    <col min="3" max="3" width="50.77734375" customWidth="1"/>
    <col min="5" max="5" width="50.77734375" customWidth="1"/>
    <col min="7" max="7" width="50.77734375" customWidth="1"/>
  </cols>
  <sheetData>
    <row r="1" spans="1:10" x14ac:dyDescent="0.3">
      <c r="A1" s="2"/>
      <c r="B1" s="2"/>
      <c r="C1" s="2"/>
      <c r="D1" s="3"/>
      <c r="E1" s="3"/>
      <c r="F1" s="3"/>
      <c r="G1" s="3"/>
      <c r="H1" s="3"/>
      <c r="I1" s="3"/>
      <c r="J1" s="3"/>
    </row>
    <row r="2" spans="1:10" ht="46.2" x14ac:dyDescent="0.85">
      <c r="A2" s="2"/>
      <c r="B2" s="2"/>
      <c r="C2" s="4" t="str">
        <f>Wedstrijdblad!L2</f>
        <v>Kerkuilen</v>
      </c>
      <c r="D2" s="3"/>
      <c r="E2" s="3"/>
      <c r="F2" s="3"/>
      <c r="G2" s="4" t="str">
        <f>Wedstrijdblad!T2</f>
        <v>Rooie bal 2</v>
      </c>
      <c r="H2" s="3"/>
      <c r="I2" s="3"/>
      <c r="J2" s="3"/>
    </row>
    <row r="3" spans="1:10" ht="61.2" x14ac:dyDescent="1.1000000000000001">
      <c r="A3" s="2"/>
      <c r="B3" s="2"/>
      <c r="C3" s="5" t="str">
        <f>Wedstrijdblad!R4</f>
        <v>Hubert Uytdewilge</v>
      </c>
      <c r="D3" s="3"/>
      <c r="E3" s="3"/>
      <c r="F3" s="3"/>
      <c r="G3" s="5" t="str">
        <f>Wedstrijdblad!T4</f>
        <v>Ed Ossenblock</v>
      </c>
      <c r="H3" s="3"/>
      <c r="I3" s="3"/>
      <c r="J3" s="3"/>
    </row>
    <row r="4" spans="1:10" ht="92.4" thickBot="1" x14ac:dyDescent="0.35">
      <c r="A4" s="2"/>
      <c r="B4" s="3"/>
      <c r="C4" s="7">
        <f>Wedstrijdblad!R5</f>
        <v>33</v>
      </c>
      <c r="D4" s="3"/>
      <c r="E4" s="8" t="s">
        <v>9</v>
      </c>
      <c r="F4" s="3"/>
      <c r="G4" s="7">
        <f>Wedstrijdblad!T5</f>
        <v>35</v>
      </c>
      <c r="H4" s="3"/>
      <c r="I4" s="3"/>
      <c r="J4" s="3"/>
    </row>
    <row r="5" spans="1:10" ht="115.8" thickTop="1" thickBot="1" x14ac:dyDescent="0.35">
      <c r="A5" s="2"/>
      <c r="B5" s="3"/>
      <c r="C5" s="9">
        <f>Wedstrijdblad!S26</f>
        <v>34</v>
      </c>
      <c r="D5" s="3"/>
      <c r="E5" s="9">
        <f>Wedstrijdblad!R27</f>
        <v>20</v>
      </c>
      <c r="F5" s="3"/>
      <c r="G5" s="9">
        <f>Wedstrijdblad!U26</f>
        <v>19</v>
      </c>
      <c r="H5" s="3"/>
      <c r="I5" s="3"/>
      <c r="J5" s="3"/>
    </row>
    <row r="6" spans="1:10" ht="32.4" thickTop="1" thickBot="1" x14ac:dyDescent="0.35">
      <c r="A6" s="2"/>
      <c r="B6" s="3"/>
      <c r="C6" s="3"/>
      <c r="D6" s="3"/>
      <c r="E6" s="3"/>
      <c r="F6" s="3"/>
      <c r="G6" s="10"/>
      <c r="H6" s="3"/>
      <c r="I6" s="3"/>
      <c r="J6" s="3"/>
    </row>
    <row r="7" spans="1:10" ht="62.4" thickTop="1" thickBot="1" x14ac:dyDescent="0.35">
      <c r="A7" s="2"/>
      <c r="B7" s="3"/>
      <c r="C7" s="11">
        <f>Wedstrijdblad!R28</f>
        <v>7</v>
      </c>
      <c r="D7" s="3"/>
      <c r="E7" s="10" t="s">
        <v>10</v>
      </c>
      <c r="F7" s="3"/>
      <c r="G7" s="11">
        <f>Wedstrijdblad!T28</f>
        <v>4</v>
      </c>
      <c r="H7" s="3"/>
      <c r="I7" s="3"/>
      <c r="J7" s="3"/>
    </row>
    <row r="8" spans="1:10" ht="32.4" thickTop="1" thickBot="1" x14ac:dyDescent="0.35">
      <c r="A8" s="2"/>
      <c r="B8" s="3"/>
      <c r="C8" s="3"/>
      <c r="D8" s="3"/>
      <c r="E8" s="3"/>
      <c r="F8" s="3"/>
      <c r="G8" s="10"/>
      <c r="H8" s="3"/>
      <c r="I8" s="3"/>
      <c r="J8" s="3"/>
    </row>
    <row r="9" spans="1:10" ht="62.4" thickTop="1" thickBot="1" x14ac:dyDescent="0.35">
      <c r="A9" s="2"/>
      <c r="B9" s="3"/>
      <c r="C9" s="11">
        <f>Wedstrijdblad!R29</f>
        <v>6</v>
      </c>
      <c r="D9" s="3"/>
      <c r="E9" s="10" t="s">
        <v>11</v>
      </c>
      <c r="F9" s="3"/>
      <c r="G9" s="11">
        <f>Wedstrijdblad!T29</f>
        <v>10</v>
      </c>
      <c r="H9" s="3"/>
      <c r="I9" s="3"/>
      <c r="J9" s="3"/>
    </row>
    <row r="10" spans="1:10" ht="45" customHeight="1" thickTop="1" thickBot="1" x14ac:dyDescent="0.35">
      <c r="A10" s="2"/>
      <c r="B10" s="3"/>
      <c r="C10" s="6"/>
      <c r="D10" s="3"/>
      <c r="E10" s="10"/>
      <c r="F10" s="3"/>
      <c r="G10" s="6"/>
      <c r="H10" s="3"/>
      <c r="I10" s="3"/>
      <c r="J10" s="3"/>
    </row>
    <row r="11" spans="1:10" ht="61.8" thickBot="1" x14ac:dyDescent="0.35">
      <c r="A11" s="2"/>
      <c r="B11" s="3"/>
      <c r="C11" s="12">
        <f>Wedstrijdblad!R30</f>
        <v>1.7</v>
      </c>
      <c r="D11" s="3"/>
      <c r="E11" s="10" t="s">
        <v>12</v>
      </c>
      <c r="F11" s="3"/>
      <c r="G11" s="12">
        <f>Wedstrijdblad!T30</f>
        <v>0.95</v>
      </c>
      <c r="H11" s="3"/>
      <c r="I11" s="3"/>
      <c r="J11" s="3"/>
    </row>
    <row r="12" spans="1:10" ht="31.8" thickBot="1" x14ac:dyDescent="0.35">
      <c r="A12" s="2"/>
      <c r="B12" s="3"/>
      <c r="C12" s="3"/>
      <c r="D12" s="3"/>
      <c r="E12" s="3"/>
      <c r="F12" s="3"/>
      <c r="G12" s="10"/>
      <c r="H12" s="3"/>
      <c r="I12" s="3"/>
      <c r="J12" s="3"/>
    </row>
    <row r="13" spans="1:10" ht="62.4" thickTop="1" thickBot="1" x14ac:dyDescent="0.35">
      <c r="A13" s="2"/>
      <c r="B13" s="3"/>
      <c r="C13" s="13">
        <f>Wedstrijdblad!R6</f>
        <v>10.303030303030303</v>
      </c>
      <c r="D13" s="3"/>
      <c r="E13" s="10" t="s">
        <v>13</v>
      </c>
      <c r="F13" s="3"/>
      <c r="G13" s="13">
        <f>Wedstrijdblad!T6</f>
        <v>5.4285714285714279</v>
      </c>
      <c r="H13" s="3"/>
      <c r="I13" s="3"/>
      <c r="J13" s="3"/>
    </row>
    <row r="14" spans="1:10" ht="37.200000000000003" customHeight="1" thickTop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ht="46.2" x14ac:dyDescent="0.3">
      <c r="A15" s="2"/>
      <c r="B15" s="14"/>
      <c r="C15" s="42">
        <f>Wedstrijdblad!B31</f>
        <v>47.95195654019183</v>
      </c>
      <c r="D15" s="3"/>
      <c r="E15" s="10" t="s">
        <v>34</v>
      </c>
      <c r="F15" s="3"/>
      <c r="G15" s="42">
        <f>Wedstrijdblad!B32</f>
        <v>49.669531880548831</v>
      </c>
      <c r="H15" s="15"/>
      <c r="I15" s="3"/>
      <c r="J15" s="3"/>
    </row>
    <row r="16" spans="1:10" x14ac:dyDescent="0.3">
      <c r="A16" s="16"/>
      <c r="B16" s="16"/>
      <c r="C16" s="16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pageSetup paperSize="9" scale="5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E48D-B421-4DE4-A83C-708175F58C14}">
  <sheetPr codeName="Blad7">
    <pageSetUpPr fitToPage="1"/>
  </sheetPr>
  <dimension ref="A1:J16"/>
  <sheetViews>
    <sheetView workbookViewId="0">
      <selection activeCell="C3" sqref="C3"/>
    </sheetView>
  </sheetViews>
  <sheetFormatPr defaultRowHeight="14.4" x14ac:dyDescent="0.3"/>
  <cols>
    <col min="3" max="3" width="50.77734375" customWidth="1"/>
    <col min="5" max="5" width="50.77734375" customWidth="1"/>
    <col min="7" max="7" width="50.77734375" customWidth="1"/>
  </cols>
  <sheetData>
    <row r="1" spans="1:10" x14ac:dyDescent="0.3">
      <c r="A1" s="2"/>
      <c r="B1" s="2"/>
      <c r="C1" s="2"/>
      <c r="D1" s="3"/>
      <c r="E1" s="3"/>
      <c r="F1" s="3"/>
      <c r="G1" s="3"/>
      <c r="H1" s="3"/>
      <c r="I1" s="3"/>
      <c r="J1" s="3"/>
    </row>
    <row r="2" spans="1:10" ht="46.2" x14ac:dyDescent="0.85">
      <c r="A2" s="2"/>
      <c r="B2" s="2"/>
      <c r="C2" s="4" t="str">
        <f>Wedstrijdblad!L2</f>
        <v>Kerkuilen</v>
      </c>
      <c r="D2" s="3"/>
      <c r="E2" s="3"/>
      <c r="F2" s="3"/>
      <c r="G2" s="4" t="str">
        <f>Wedstrijdblad!T2</f>
        <v>Rooie bal 2</v>
      </c>
      <c r="H2" s="3"/>
      <c r="I2" s="3"/>
      <c r="J2" s="3"/>
    </row>
    <row r="3" spans="1:10" ht="61.2" x14ac:dyDescent="1.1000000000000001">
      <c r="A3" s="2"/>
      <c r="B3" s="2"/>
      <c r="C3" s="5" t="str">
        <f>Wedstrijdblad!V4</f>
        <v>Stan Elst</v>
      </c>
      <c r="D3" s="3"/>
      <c r="E3" s="3"/>
      <c r="F3" s="3"/>
      <c r="G3" s="5" t="str">
        <f>Wedstrijdblad!X4</f>
        <v>Willy Lodewycks</v>
      </c>
      <c r="H3" s="3"/>
      <c r="I3" s="3"/>
      <c r="J3" s="3"/>
    </row>
    <row r="4" spans="1:10" ht="92.4" thickBot="1" x14ac:dyDescent="0.35">
      <c r="A4" s="2"/>
      <c r="B4" s="3"/>
      <c r="C4" s="7">
        <f>Wedstrijdblad!V5</f>
        <v>42</v>
      </c>
      <c r="D4" s="3"/>
      <c r="E4" s="8" t="s">
        <v>9</v>
      </c>
      <c r="F4" s="3"/>
      <c r="G4" s="7">
        <f>Wedstrijdblad!X5</f>
        <v>40</v>
      </c>
      <c r="H4" s="3"/>
      <c r="I4" s="3"/>
      <c r="J4" s="3"/>
    </row>
    <row r="5" spans="1:10" ht="115.8" thickTop="1" thickBot="1" x14ac:dyDescent="0.35">
      <c r="A5" s="2"/>
      <c r="B5" s="3"/>
      <c r="C5" s="9">
        <f>Wedstrijdblad!W26</f>
        <v>51</v>
      </c>
      <c r="D5" s="3"/>
      <c r="E5" s="9">
        <f>Wedstrijdblad!V27</f>
        <v>20</v>
      </c>
      <c r="F5" s="3"/>
      <c r="G5" s="9">
        <f>Wedstrijdblad!Y26</f>
        <v>33</v>
      </c>
      <c r="H5" s="3"/>
      <c r="I5" s="3"/>
      <c r="J5" s="3"/>
    </row>
    <row r="6" spans="1:10" ht="32.4" thickTop="1" thickBot="1" x14ac:dyDescent="0.35">
      <c r="A6" s="2"/>
      <c r="B6" s="3"/>
      <c r="C6" s="3"/>
      <c r="D6" s="3"/>
      <c r="E6" s="3"/>
      <c r="F6" s="3"/>
      <c r="G6" s="10"/>
      <c r="H6" s="3"/>
      <c r="I6" s="3"/>
      <c r="J6" s="3"/>
    </row>
    <row r="7" spans="1:10" ht="62.4" thickTop="1" thickBot="1" x14ac:dyDescent="0.35">
      <c r="A7" s="2"/>
      <c r="B7" s="3"/>
      <c r="C7" s="11">
        <f>Wedstrijdblad!V28</f>
        <v>7</v>
      </c>
      <c r="D7" s="3"/>
      <c r="E7" s="10" t="s">
        <v>10</v>
      </c>
      <c r="F7" s="3"/>
      <c r="G7" s="11">
        <f>Wedstrijdblad!X28</f>
        <v>4</v>
      </c>
      <c r="H7" s="3"/>
      <c r="I7" s="3"/>
      <c r="J7" s="3"/>
    </row>
    <row r="8" spans="1:10" ht="32.4" thickTop="1" thickBot="1" x14ac:dyDescent="0.35">
      <c r="A8" s="2"/>
      <c r="B8" s="3"/>
      <c r="C8" s="3"/>
      <c r="D8" s="3"/>
      <c r="E8" s="3"/>
      <c r="F8" s="3"/>
      <c r="G8" s="10"/>
      <c r="H8" s="3"/>
      <c r="I8" s="3"/>
      <c r="J8" s="3"/>
    </row>
    <row r="9" spans="1:10" ht="62.4" thickTop="1" thickBot="1" x14ac:dyDescent="0.35">
      <c r="A9" s="2"/>
      <c r="B9" s="3"/>
      <c r="C9" s="11">
        <f>Wedstrijdblad!V29</f>
        <v>2</v>
      </c>
      <c r="D9" s="3"/>
      <c r="E9" s="10" t="s">
        <v>11</v>
      </c>
      <c r="F9" s="3"/>
      <c r="G9" s="11">
        <f>Wedstrijdblad!X29</f>
        <v>6</v>
      </c>
      <c r="H9" s="3"/>
      <c r="I9" s="3"/>
      <c r="J9" s="3"/>
    </row>
    <row r="10" spans="1:10" ht="45" customHeight="1" thickTop="1" thickBot="1" x14ac:dyDescent="0.35">
      <c r="A10" s="2"/>
      <c r="B10" s="3"/>
      <c r="C10" s="6"/>
      <c r="D10" s="3"/>
      <c r="E10" s="10"/>
      <c r="F10" s="3"/>
      <c r="G10" s="6"/>
      <c r="H10" s="3"/>
      <c r="I10" s="3"/>
      <c r="J10" s="3"/>
    </row>
    <row r="11" spans="1:10" ht="61.8" thickBot="1" x14ac:dyDescent="0.35">
      <c r="A11" s="2"/>
      <c r="B11" s="3"/>
      <c r="C11" s="12">
        <f>Wedstrijdblad!V30</f>
        <v>2.5499999999999998</v>
      </c>
      <c r="D11" s="3"/>
      <c r="E11" s="10" t="s">
        <v>12</v>
      </c>
      <c r="F11" s="3"/>
      <c r="G11" s="12">
        <f>Wedstrijdblad!X30</f>
        <v>1.65</v>
      </c>
      <c r="H11" s="3"/>
      <c r="I11" s="3"/>
      <c r="J11" s="3"/>
    </row>
    <row r="12" spans="1:10" ht="31.8" thickBot="1" x14ac:dyDescent="0.35">
      <c r="A12" s="2"/>
      <c r="B12" s="3"/>
      <c r="C12" s="3"/>
      <c r="D12" s="3"/>
      <c r="E12" s="3"/>
      <c r="F12" s="3"/>
      <c r="G12" s="10"/>
      <c r="H12" s="3"/>
      <c r="I12" s="3"/>
      <c r="J12" s="3"/>
    </row>
    <row r="13" spans="1:10" ht="62.4" thickTop="1" thickBot="1" x14ac:dyDescent="0.35">
      <c r="A13" s="2"/>
      <c r="B13" s="3"/>
      <c r="C13" s="13">
        <f>Wedstrijdblad!V6</f>
        <v>12.142857142857142</v>
      </c>
      <c r="D13" s="3"/>
      <c r="E13" s="10" t="s">
        <v>13</v>
      </c>
      <c r="F13" s="3"/>
      <c r="G13" s="13">
        <f>Wedstrijdblad!X6</f>
        <v>8.25</v>
      </c>
      <c r="H13" s="3"/>
      <c r="I13" s="3"/>
      <c r="J13" s="3"/>
    </row>
    <row r="14" spans="1:10" ht="37.200000000000003" customHeight="1" thickTop="1" x14ac:dyDescent="0.3">
      <c r="A14" s="2"/>
      <c r="B14" s="3"/>
      <c r="C14" s="3"/>
      <c r="D14" s="3"/>
      <c r="E14" s="3"/>
      <c r="F14" s="3"/>
      <c r="G14" s="3"/>
      <c r="H14" s="3"/>
      <c r="I14" s="3"/>
      <c r="J14" s="3"/>
    </row>
    <row r="15" spans="1:10" ht="46.2" x14ac:dyDescent="0.3">
      <c r="A15" s="2"/>
      <c r="B15" s="14"/>
      <c r="C15" s="42">
        <f>Wedstrijdblad!B31</f>
        <v>47.95195654019183</v>
      </c>
      <c r="D15" s="3"/>
      <c r="E15" s="10" t="s">
        <v>34</v>
      </c>
      <c r="F15" s="3"/>
      <c r="G15" s="42">
        <f>Wedstrijdblad!B32</f>
        <v>49.669531880548831</v>
      </c>
      <c r="H15" s="15"/>
      <c r="I15" s="3"/>
      <c r="J15" s="3"/>
    </row>
    <row r="16" spans="1:10" x14ac:dyDescent="0.3">
      <c r="A16" s="16"/>
      <c r="B16" s="16"/>
      <c r="C16" s="16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Wedstrijdblad</vt:lpstr>
      <vt:lpstr>Scoreblad 1</vt:lpstr>
      <vt:lpstr>Scoreblad 2</vt:lpstr>
      <vt:lpstr>Scoreblad 3</vt:lpstr>
      <vt:lpstr>Scoreblad 4</vt:lpstr>
      <vt:lpstr>Scoreblad 5</vt:lpstr>
      <vt:lpstr>Scoreblad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Leopold Costermans</dc:creator>
  <cp:lastModifiedBy>Leopold Costermans</cp:lastModifiedBy>
  <cp:lastPrinted>2025-11-25T10:19:19Z</cp:lastPrinted>
  <dcterms:created xsi:type="dcterms:W3CDTF">2025-10-14T09:22:07Z</dcterms:created>
  <dcterms:modified xsi:type="dcterms:W3CDTF">2025-11-25T10:37:59Z</dcterms:modified>
</cp:coreProperties>
</file>